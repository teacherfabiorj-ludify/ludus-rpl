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PAINEL" sheetId="2" state="visible" r:id="rId2"/>
    <sheet xmlns:r="http://schemas.openxmlformats.org/officeDocument/2006/relationships" name="QUADRO" sheetId="3" state="visible" r:id="rId3"/>
    <sheet xmlns:r="http://schemas.openxmlformats.org/officeDocument/2006/relationships" name="REFERENCIA"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4130F"/>
      <sz val="16"/>
    </font>
    <font>
      <name val="Calibri"/>
      <color rgb="006E6A61"/>
      <sz val="10"/>
    </font>
    <font>
      <name val="Calibri"/>
      <b val="1"/>
      <color rgb="00FFFFFF"/>
      <sz val="9"/>
    </font>
    <font>
      <name val="Calibri"/>
      <color rgb="0014130F"/>
      <sz val="10"/>
    </font>
    <font>
      <name val="Calibri"/>
      <b val="1"/>
      <color rgb="0014130F"/>
      <sz val="10"/>
    </font>
    <font>
      <name val="Calibri"/>
      <color rgb="006E6A61"/>
      <sz val="9"/>
    </font>
  </fonts>
  <fills count="7">
    <fill>
      <patternFill/>
    </fill>
    <fill>
      <patternFill patternType="gray125"/>
    </fill>
    <fill>
      <patternFill patternType="solid">
        <fgColor rgb="0014130F"/>
      </patternFill>
    </fill>
    <fill>
      <patternFill patternType="solid">
        <fgColor rgb="00FFF4D6"/>
      </patternFill>
    </fill>
    <fill>
      <patternFill patternType="solid">
        <fgColor rgb="00EAF2FD"/>
      </patternFill>
    </fill>
    <fill>
      <patternFill patternType="solid">
        <fgColor rgb="00FBEDEC"/>
      </patternFill>
    </fill>
    <fill>
      <patternFill patternType="solid">
        <fgColor rgb="00F4F3F0"/>
      </patternFill>
    </fill>
  </fills>
  <borders count="2">
    <border>
      <left/>
      <right/>
      <top/>
      <bottom/>
      <diagonal/>
    </border>
    <border>
      <left style="thin">
        <color rgb="00D8D6D0"/>
      </left>
      <right style="thin">
        <color rgb="00D8D6D0"/>
      </right>
      <top style="thin">
        <color rgb="00D8D6D0"/>
      </top>
      <bottom style="thin">
        <color rgb="00D8D6D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4" fillId="0" borderId="0" applyAlignment="1" pivotButton="0" quotePrefix="0" xfId="0">
      <alignment vertical="top" wrapText="1"/>
    </xf>
    <xf numFmtId="0" fontId="5"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30"/>
  <sheetViews>
    <sheetView workbookViewId="0">
      <selection activeCell="A1" sqref="A1"/>
    </sheetView>
  </sheetViews>
  <sheetFormatPr baseColWidth="8" defaultRowHeight="15"/>
  <cols>
    <col width="120" customWidth="1" min="1" max="1"/>
  </cols>
  <sheetData>
    <row r="2">
      <c r="A2" s="1" t="inlineStr">
        <is>
          <t>Painel da Turma · Ludus</t>
        </is>
      </c>
    </row>
    <row r="3">
      <c r="A3" s="2" t="inlineStr">
        <is>
          <t>O arquivo do professor. Nunca compartilhado.</t>
        </is>
      </c>
    </row>
    <row r="5">
      <c r="A5" s="3" t="inlineStr">
        <is>
          <t>v2.0 · September 2026  ·  gerado de core/core.json por planilhas/src/build_painel.py</t>
        </is>
      </c>
    </row>
    <row r="7">
      <c r="A7" s="4" t="inlineStr">
        <is>
          <t>O que é este arquivo</t>
        </is>
      </c>
    </row>
    <row r="8">
      <c r="A8" s="3" t="inlineStr">
        <is>
          <t>O painel do professor. Ele NUNCA é compartilhado com aluno nenhum, e não precisa ser: dele sai um bloco público (a aba QUADRO) que alimenta o Quadro da Turma, e é o Quadro que as fichas leem.</t>
        </is>
      </c>
    </row>
    <row r="10">
      <c r="A10" s="4" t="inlineStr">
        <is>
          <t>A corrente</t>
        </is>
      </c>
    </row>
    <row r="11">
      <c r="A11" s="3" t="inlineStr">
        <is>
          <t>PAINEL  →  QUADRO (aba deste arquivo)  →  Quadro da Turma (arquivo separado, somente leitura)  →  ficha de cada aluno</t>
        </is>
      </c>
    </row>
    <row r="13">
      <c r="A13" s="3" t="inlineStr">
        <is>
          <t>Nenhum arquivo que um aluno consiga editar aponta para este. É essa a trava: o IMPORTRANGE é autorizado por arquivo inteiro, então bastaria um aluno trocar o intervalo para ler tudo.</t>
        </is>
      </c>
    </row>
    <row r="15">
      <c r="A15" s="4" t="inlineStr">
        <is>
          <t>Montagem, uma vez só</t>
        </is>
      </c>
    </row>
    <row r="16">
      <c r="A16" s="3" t="inlineStr">
        <is>
          <t>1. Suba este arquivo no Drive, na pasta do GM, e abra-o.</t>
        </is>
      </c>
    </row>
    <row r="17">
      <c r="A17" s="3" t="inlineStr">
        <is>
          <t>2. Arquivo → Salvar como Planilhas Google. Sem isso não existe IMPORTRANGE.</t>
        </is>
      </c>
    </row>
    <row r="18">
      <c r="A18" s="3" t="inlineStr">
        <is>
          <t>3. Troque Aluno 1–4 pelos nomes reais, na coluna A da aba PAINEL.</t>
        </is>
      </c>
    </row>
    <row r="19">
      <c r="A19" s="3" t="inlineStr">
        <is>
          <t>4. Copie o link. É ele que vai na célula amarela do Quadro da Turma.</t>
        </is>
      </c>
    </row>
    <row r="21">
      <c r="A21" s="4" t="inlineStr">
        <is>
          <t>Toda semana</t>
        </is>
      </c>
    </row>
    <row r="22">
      <c r="A22" s="3" t="inlineStr">
        <is>
          <t>Antes da sessão: EVOLVE, UNIDADE e LIÇÃO de cada aluno. Três células por aluno.</t>
        </is>
      </c>
    </row>
    <row r="23">
      <c r="A23" s="3" t="inlineStr">
        <is>
          <t>No debrief: sim/não em lição de casa, uso do Focus e apresentação. Sai o LP da próxima sessão.</t>
        </is>
      </c>
    </row>
    <row r="24">
      <c r="A24" s="3" t="inlineStr">
        <is>
          <t>Uma vez por semana: tentativas e nota, lendo o Cambridge One.</t>
        </is>
      </c>
    </row>
    <row r="26">
      <c r="A26" s="4" t="inlineStr">
        <is>
          <t>Formato do grupo</t>
        </is>
      </c>
    </row>
    <row r="27">
      <c r="A27" s="3" t="inlineStr">
        <is>
          <t>O ciclo conta LIÇÕES, não dias. Um grupo de um encontro por semana cobre duas lições por encontro; um grupo de dois encontros cobre uma por encontro. Nos dois casos, uma unidade leva duas semanas.</t>
        </is>
      </c>
    </row>
    <row r="29">
      <c r="A29" s="4" t="inlineStr">
        <is>
          <t>⚠ A divisão lição 1 / lição 2 é inferida</t>
        </is>
      </c>
    </row>
    <row r="30">
      <c r="A30" s="3" t="inlineStr">
        <is>
          <t>O catálogo traz a gramática por unidade, não por lição. A REFERENCIA corta no primeiro ponto e vírgula. A coluna CONFERIDO? marca o que ainda não foi checado no livro. Corrigir é editar uma célula da REFERENCIA — o PAINEL passa a ler o valor certo sozinho.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8" customWidth="1" min="2" max="2"/>
    <col width="9" customWidth="1" min="3" max="3"/>
    <col width="8" customWidth="1" min="4" max="4"/>
    <col width="8" customWidth="1" min="5" max="5"/>
    <col width="11" customWidth="1" min="6" max="6"/>
    <col width="11" customWidth="1" min="7" max="7"/>
    <col width="11" customWidth="1" min="8" max="8"/>
    <col width="10" customWidth="1" min="9" max="9"/>
    <col width="8" customWidth="1" min="10" max="10"/>
    <col width="22" customWidth="1" min="11" max="11"/>
    <col width="30" customWidth="1" min="12" max="12"/>
    <col width="30" customWidth="1" min="13" max="13"/>
    <col width="30" customWidth="1" min="14" max="14"/>
    <col width="22" customWidth="1" min="15" max="15"/>
    <col width="13" customWidth="1" min="16" max="16"/>
    <col width="11" customWidth="1" min="17" max="17"/>
    <col width="46" customWidth="1" min="18" max="18"/>
    <col width="9" customWidth="1" min="19" max="19"/>
    <col width="28" customWidth="1" min="20" max="20"/>
    <col width="7" customWidth="1" min="21" max="21"/>
  </cols>
  <sheetData>
    <row r="1">
      <c r="A1" s="1" t="inlineStr">
        <is>
          <t>PAINEL DA TURMA · Ludus</t>
        </is>
      </c>
    </row>
    <row r="2">
      <c r="A2" s="2" t="inlineStr">
        <is>
          <t>Amarelo você digita. Azul se calcula. Vermelho é privado e nunca sai deste arquivo.</t>
        </is>
      </c>
    </row>
    <row r="3" ht="28" customHeight="1">
      <c r="A3" s="5" t="inlineStr">
        <is>
          <t>ALUNO</t>
        </is>
      </c>
      <c r="B3" s="5" t="inlineStr">
        <is>
          <t>EVOLVE</t>
        </is>
      </c>
      <c r="C3" s="5" t="inlineStr">
        <is>
          <t>UNIDADE</t>
        </is>
      </c>
      <c r="D3" s="5" t="inlineStr">
        <is>
          <t>LIÇÃO</t>
        </is>
      </c>
      <c r="E3" s="5" t="inlineStr">
        <is>
          <t>GROWTH</t>
        </is>
      </c>
      <c r="F3" s="5" t="inlineStr">
        <is>
          <t>LIÇÃO DE CASA?</t>
        </is>
      </c>
      <c r="G3" s="5" t="inlineStr">
        <is>
          <t>USOU O FOCUS?</t>
        </is>
      </c>
      <c r="H3" s="5" t="inlineStr">
        <is>
          <t>APRESENTOU?</t>
        </is>
      </c>
      <c r="I3" s="5" t="inlineStr">
        <is>
          <t>TENT.</t>
        </is>
      </c>
      <c r="J3" s="5" t="inlineStr">
        <is>
          <t>NOTA %</t>
        </is>
      </c>
      <c r="K3" s="5" t="inlineStr">
        <is>
          <t>TÍTULO DA UNIDADE</t>
        </is>
      </c>
      <c r="L3" s="5" t="inlineStr">
        <is>
          <t>LIÇÃO 1 (tópico)</t>
        </is>
      </c>
      <c r="M3" s="5" t="inlineStr">
        <is>
          <t>LIÇÃO 2 (tópico)</t>
        </is>
      </c>
      <c r="N3" s="5" t="inlineStr">
        <is>
          <t>LANGUAGE FOCUS DE HOJE</t>
        </is>
      </c>
      <c r="O3" s="5" t="inlineStr">
        <is>
          <t>AÇÕES</t>
        </is>
      </c>
      <c r="P3" s="5" t="inlineStr">
        <is>
          <t>APRESENTA?</t>
        </is>
      </c>
      <c r="Q3" s="5" t="inlineStr">
        <is>
          <t>PRÓX. LIÇÃO</t>
        </is>
      </c>
      <c r="R3" s="5" t="inlineStr">
        <is>
          <t>LEMBRETE — PRÓXIMA AULA</t>
        </is>
      </c>
      <c r="S3" s="5" t="inlineStr">
        <is>
          <t>LP</t>
        </is>
      </c>
      <c r="T3" s="5" t="inlineStr">
        <is>
          <t>ALERTA — PRIVADO</t>
        </is>
      </c>
      <c r="U3" s="5" t="inlineStr">
        <is>
          <t>motor</t>
        </is>
      </c>
    </row>
    <row r="4" ht="46" customHeight="1">
      <c r="A4" s="6" t="inlineStr">
        <is>
          <t>Aluno 1</t>
        </is>
      </c>
      <c r="B4" s="6" t="n">
        <v>1</v>
      </c>
      <c r="C4" s="6" t="n">
        <v>1</v>
      </c>
      <c r="D4" s="6" t="inlineStr">
        <is>
          <t>A</t>
        </is>
      </c>
      <c r="E4" s="6" t="n">
        <v>1</v>
      </c>
      <c r="F4" s="6" t="inlineStr">
        <is>
          <t>não</t>
        </is>
      </c>
      <c r="G4" s="6" t="inlineStr">
        <is>
          <t>não</t>
        </is>
      </c>
      <c r="H4" s="6" t="inlineStr">
        <is>
          <t>não</t>
        </is>
      </c>
      <c r="I4" s="6" t="n">
        <v>0</v>
      </c>
      <c r="J4" s="6" t="n"/>
      <c r="K4" s="7">
        <f>IF($U4=0,"⚠ unidade não encontrada",INDEX(REFERENCIA!$E$2:$E$73,$U4))</f>
        <v/>
      </c>
      <c r="L4" s="7">
        <f>IF($U4=0,"—",INDEX(REFERENCIA!$F$2:$F$73,$U4))</f>
        <v/>
      </c>
      <c r="M4" s="7">
        <f>IF($U4=0,"—",INDEX(REFERENCIA!$G$2:$G$73,$U4))</f>
        <v/>
      </c>
      <c r="N4" s="7">
        <f>IF($D4="X",$L4&amp;"   +   "&amp;$M4,IF(OR($D4="A",$D4="B"),$L4,$M4))</f>
        <v/>
      </c>
      <c r="O4" s="7">
        <f>IF($U4=0,"—",IF(INDEX(REFERENCIA!$I$2:$I$73,$U4)="—",INDEX(REFERENCIA!$H$2:$H$73,$U4),INDEX(REFERENCIA!$H$2:$H$73,$U4)&amp;" / "&amp;INDEX(REFERENCIA!$I$2:$I$73,$U4)))</f>
        <v/>
      </c>
      <c r="P4" s="7">
        <f>IF(OR($D4="B",$D4="D"),"SIM — 1 min","não")</f>
        <v/>
      </c>
      <c r="Q4" s="7">
        <f>IF($D4="A","B",IF($D4="B","C",IF($D4="C","D",IF(OR($D4="D",$D4="X"),"A (unidade seguinte)","—"))))</f>
        <v/>
      </c>
      <c r="R4" s="7">
        <f>IF($D4="A","Próxima aula do ciclo: B — você apresenta ~1 min sobre: "&amp;$L4,IF($D4="B","Próxima aula do ciclo: C — tópico novo: "&amp;$M4,IF($D4="C","Próxima aula do ciclo: D — você apresenta ~1 min sobre: "&amp;$M4,IF($D4="D","Próxima aula: unidade nova, lição A. O teste desta unidade é liberado hoje.",IF($D4="X","Aula extra: revisão dos dois tópicos desta unidade.","—")))))</f>
        <v/>
      </c>
      <c r="S4" s="7">
        <f>IF($F4="sim",1,0)+IF($G4="sim",1,0)+IF($H4="sim",1,0)</f>
        <v/>
      </c>
      <c r="T4" s="8">
        <f>IF($J4="","—",IF($J4&gt;=75,"ok — avança e volta ao A",IF($I4&gt;=2,"⚠ esgotou as 2 tentativas — você libera","abaixo de 75 — cabe 2ª tentativa")))</f>
        <v/>
      </c>
      <c r="U4" s="9">
        <f>IFERROR(MATCH("E"&amp;$B4&amp;"-U"&amp;$C4,REFERENCIA!$A$2:$A$73,0),0)</f>
        <v/>
      </c>
    </row>
    <row r="5" ht="46" customHeight="1">
      <c r="A5" s="6" t="inlineStr">
        <is>
          <t>Aluno 2</t>
        </is>
      </c>
      <c r="B5" s="6" t="n">
        <v>1</v>
      </c>
      <c r="C5" s="6" t="n">
        <v>1</v>
      </c>
      <c r="D5" s="6" t="inlineStr">
        <is>
          <t>A</t>
        </is>
      </c>
      <c r="E5" s="6" t="n">
        <v>1</v>
      </c>
      <c r="F5" s="6" t="inlineStr">
        <is>
          <t>não</t>
        </is>
      </c>
      <c r="G5" s="6" t="inlineStr">
        <is>
          <t>não</t>
        </is>
      </c>
      <c r="H5" s="6" t="inlineStr">
        <is>
          <t>não</t>
        </is>
      </c>
      <c r="I5" s="6" t="n">
        <v>0</v>
      </c>
      <c r="J5" s="6" t="n"/>
      <c r="K5" s="7">
        <f>IF($U5=0,"⚠ unidade não encontrada",INDEX(REFERENCIA!$E$2:$E$73,$U5))</f>
        <v/>
      </c>
      <c r="L5" s="7">
        <f>IF($U5=0,"—",INDEX(REFERENCIA!$F$2:$F$73,$U5))</f>
        <v/>
      </c>
      <c r="M5" s="7">
        <f>IF($U5=0,"—",INDEX(REFERENCIA!$G$2:$G$73,$U5))</f>
        <v/>
      </c>
      <c r="N5" s="7">
        <f>IF($D5="X",$L5&amp;"   +   "&amp;$M5,IF(OR($D5="A",$D5="B"),$L5,$M5))</f>
        <v/>
      </c>
      <c r="O5" s="7">
        <f>IF($U5=0,"—",IF(INDEX(REFERENCIA!$I$2:$I$73,$U5)="—",INDEX(REFERENCIA!$H$2:$H$73,$U5),INDEX(REFERENCIA!$H$2:$H$73,$U5)&amp;" / "&amp;INDEX(REFERENCIA!$I$2:$I$73,$U5)))</f>
        <v/>
      </c>
      <c r="P5" s="7">
        <f>IF(OR($D5="B",$D5="D"),"SIM — 1 min","não")</f>
        <v/>
      </c>
      <c r="Q5" s="7">
        <f>IF($D5="A","B",IF($D5="B","C",IF($D5="C","D",IF(OR($D5="D",$D5="X"),"A (unidade seguinte)","—"))))</f>
        <v/>
      </c>
      <c r="R5" s="7">
        <f>IF($D5="A","Próxima aula do ciclo: B — você apresenta ~1 min sobre: "&amp;$L5,IF($D5="B","Próxima aula do ciclo: C — tópico novo: "&amp;$M5,IF($D5="C","Próxima aula do ciclo: D — você apresenta ~1 min sobre: "&amp;$M5,IF($D5="D","Próxima aula: unidade nova, lição A. O teste desta unidade é liberado hoje.",IF($D5="X","Aula extra: revisão dos dois tópicos desta unidade.","—")))))</f>
        <v/>
      </c>
      <c r="S5" s="7">
        <f>IF($F5="sim",1,0)+IF($G5="sim",1,0)+IF($H5="sim",1,0)</f>
        <v/>
      </c>
      <c r="T5" s="8">
        <f>IF($J5="","—",IF($J5&gt;=75,"ok — avança e volta ao A",IF($I5&gt;=2,"⚠ esgotou as 2 tentativas — você libera","abaixo de 75 — cabe 2ª tentativa")))</f>
        <v/>
      </c>
      <c r="U5" s="9">
        <f>IFERROR(MATCH("E"&amp;$B5&amp;"-U"&amp;$C5,REFERENCIA!$A$2:$A$73,0),0)</f>
        <v/>
      </c>
    </row>
    <row r="6" ht="46" customHeight="1">
      <c r="A6" s="6" t="inlineStr">
        <is>
          <t>Aluno 3</t>
        </is>
      </c>
      <c r="B6" s="6" t="n">
        <v>1</v>
      </c>
      <c r="C6" s="6" t="n">
        <v>1</v>
      </c>
      <c r="D6" s="6" t="inlineStr">
        <is>
          <t>A</t>
        </is>
      </c>
      <c r="E6" s="6" t="n">
        <v>1</v>
      </c>
      <c r="F6" s="6" t="inlineStr">
        <is>
          <t>não</t>
        </is>
      </c>
      <c r="G6" s="6" t="inlineStr">
        <is>
          <t>não</t>
        </is>
      </c>
      <c r="H6" s="6" t="inlineStr">
        <is>
          <t>não</t>
        </is>
      </c>
      <c r="I6" s="6" t="n">
        <v>0</v>
      </c>
      <c r="J6" s="6" t="n"/>
      <c r="K6" s="7">
        <f>IF($U6=0,"⚠ unidade não encontrada",INDEX(REFERENCIA!$E$2:$E$73,$U6))</f>
        <v/>
      </c>
      <c r="L6" s="7">
        <f>IF($U6=0,"—",INDEX(REFERENCIA!$F$2:$F$73,$U6))</f>
        <v/>
      </c>
      <c r="M6" s="7">
        <f>IF($U6=0,"—",INDEX(REFERENCIA!$G$2:$G$73,$U6))</f>
        <v/>
      </c>
      <c r="N6" s="7">
        <f>IF($D6="X",$L6&amp;"   +   "&amp;$M6,IF(OR($D6="A",$D6="B"),$L6,$M6))</f>
        <v/>
      </c>
      <c r="O6" s="7">
        <f>IF($U6=0,"—",IF(INDEX(REFERENCIA!$I$2:$I$73,$U6)="—",INDEX(REFERENCIA!$H$2:$H$73,$U6),INDEX(REFERENCIA!$H$2:$H$73,$U6)&amp;" / "&amp;INDEX(REFERENCIA!$I$2:$I$73,$U6)))</f>
        <v/>
      </c>
      <c r="P6" s="7">
        <f>IF(OR($D6="B",$D6="D"),"SIM — 1 min","não")</f>
        <v/>
      </c>
      <c r="Q6" s="7">
        <f>IF($D6="A","B",IF($D6="B","C",IF($D6="C","D",IF(OR($D6="D",$D6="X"),"A (unidade seguinte)","—"))))</f>
        <v/>
      </c>
      <c r="R6" s="7">
        <f>IF($D6="A","Próxima aula do ciclo: B — você apresenta ~1 min sobre: "&amp;$L6,IF($D6="B","Próxima aula do ciclo: C — tópico novo: "&amp;$M6,IF($D6="C","Próxima aula do ciclo: D — você apresenta ~1 min sobre: "&amp;$M6,IF($D6="D","Próxima aula: unidade nova, lição A. O teste desta unidade é liberado hoje.",IF($D6="X","Aula extra: revisão dos dois tópicos desta unidade.","—")))))</f>
        <v/>
      </c>
      <c r="S6" s="7">
        <f>IF($F6="sim",1,0)+IF($G6="sim",1,0)+IF($H6="sim",1,0)</f>
        <v/>
      </c>
      <c r="T6" s="8">
        <f>IF($J6="","—",IF($J6&gt;=75,"ok — avança e volta ao A",IF($I6&gt;=2,"⚠ esgotou as 2 tentativas — você libera","abaixo de 75 — cabe 2ª tentativa")))</f>
        <v/>
      </c>
      <c r="U6" s="9">
        <f>IFERROR(MATCH("E"&amp;$B6&amp;"-U"&amp;$C6,REFERENCIA!$A$2:$A$73,0),0)</f>
        <v/>
      </c>
    </row>
    <row r="7" ht="46" customHeight="1">
      <c r="A7" s="6" t="inlineStr">
        <is>
          <t>Aluno 4</t>
        </is>
      </c>
      <c r="B7" s="6" t="n">
        <v>1</v>
      </c>
      <c r="C7" s="6" t="n">
        <v>1</v>
      </c>
      <c r="D7" s="6" t="inlineStr">
        <is>
          <t>A</t>
        </is>
      </c>
      <c r="E7" s="6" t="n">
        <v>1</v>
      </c>
      <c r="F7" s="6" t="inlineStr">
        <is>
          <t>não</t>
        </is>
      </c>
      <c r="G7" s="6" t="inlineStr">
        <is>
          <t>não</t>
        </is>
      </c>
      <c r="H7" s="6" t="inlineStr">
        <is>
          <t>não</t>
        </is>
      </c>
      <c r="I7" s="6" t="n">
        <v>0</v>
      </c>
      <c r="J7" s="6" t="n"/>
      <c r="K7" s="7">
        <f>IF($U7=0,"⚠ unidade não encontrada",INDEX(REFERENCIA!$E$2:$E$73,$U7))</f>
        <v/>
      </c>
      <c r="L7" s="7">
        <f>IF($U7=0,"—",INDEX(REFERENCIA!$F$2:$F$73,$U7))</f>
        <v/>
      </c>
      <c r="M7" s="7">
        <f>IF($U7=0,"—",INDEX(REFERENCIA!$G$2:$G$73,$U7))</f>
        <v/>
      </c>
      <c r="N7" s="7">
        <f>IF($D7="X",$L7&amp;"   +   "&amp;$M7,IF(OR($D7="A",$D7="B"),$L7,$M7))</f>
        <v/>
      </c>
      <c r="O7" s="7">
        <f>IF($U7=0,"—",IF(INDEX(REFERENCIA!$I$2:$I$73,$U7)="—",INDEX(REFERENCIA!$H$2:$H$73,$U7),INDEX(REFERENCIA!$H$2:$H$73,$U7)&amp;" / "&amp;INDEX(REFERENCIA!$I$2:$I$73,$U7)))</f>
        <v/>
      </c>
      <c r="P7" s="7">
        <f>IF(OR($D7="B",$D7="D"),"SIM — 1 min","não")</f>
        <v/>
      </c>
      <c r="Q7" s="7">
        <f>IF($D7="A","B",IF($D7="B","C",IF($D7="C","D",IF(OR($D7="D",$D7="X"),"A (unidade seguinte)","—"))))</f>
        <v/>
      </c>
      <c r="R7" s="7">
        <f>IF($D7="A","Próxima aula do ciclo: B — você apresenta ~1 min sobre: "&amp;$L7,IF($D7="B","Próxima aula do ciclo: C — tópico novo: "&amp;$M7,IF($D7="C","Próxima aula do ciclo: D — você apresenta ~1 min sobre: "&amp;$M7,IF($D7="D","Próxima aula: unidade nova, lição A. O teste desta unidade é liberado hoje.",IF($D7="X","Aula extra: revisão dos dois tópicos desta unidade.","—")))))</f>
        <v/>
      </c>
      <c r="S7" s="7">
        <f>IF($F7="sim",1,0)+IF($G7="sim",1,0)+IF($H7="sim",1,0)</f>
        <v/>
      </c>
      <c r="T7" s="8">
        <f>IF($J7="","—",IF($J7&gt;=75,"ok — avança e volta ao A",IF($I7&gt;=2,"⚠ esgotou as 2 tentativas — você libera","abaixo de 75 — cabe 2ª tentativa")))</f>
        <v/>
      </c>
      <c r="U7" s="9">
        <f>IFERROR(MATCH("E"&amp;$B7&amp;"-U"&amp;$C7,REFERENCIA!$A$2:$A$73,0),0)</f>
        <v/>
      </c>
    </row>
    <row r="9">
      <c r="A9" s="10" t="inlineStr">
        <is>
          <t>COMO USAR — dez minutos antes da sessão</t>
        </is>
      </c>
    </row>
    <row r="10">
      <c r="A10" s="3" t="inlineStr">
        <is>
          <t>Digite três coisas por aluno: EVOLVE, UNIDADE e LIÇÃO do ciclo (A, B, C, D ou X). Tudo de K a S se calcula.</t>
        </is>
      </c>
    </row>
    <row r="11">
      <c r="A11" s="3" t="inlineStr">
        <is>
          <t>Depois da sessão, no debrief: marque sim/não em LIÇÃO DE CASA, USOU O FOCUS e APRESENTOU. A coluna LP é o que o aluno terá para gastar NA PRÓXIMA sessão.</t>
        </is>
      </c>
    </row>
    <row r="12">
      <c r="A12" s="3" t="inlineStr">
        <is>
          <t>O LP é pago pela TENTATIVA, nunca pelo acerto. The point is paid for the attempt, never for the result. If you reached for the structure you are working on and it came out crooked, you earned it. Getting it right is better. It is not what is being paid for.</t>
        </is>
      </c>
    </row>
    <row r="13">
      <c r="A13" s="3" t="inlineStr">
        <is>
          <t>Uma vez por semana, lance TENTATIVAS e NOTA lendo o relatório do Cambridge One.</t>
        </is>
      </c>
    </row>
    <row r="14">
      <c r="A14" s="11" t="inlineStr"/>
    </row>
    <row r="15">
      <c r="A15" s="3" t="inlineStr">
        <is>
          <t>GRUPOS DE UM ENCONTRO POR SEMANA cobrem DUAS lições do ciclo por encontro: avance a coluna LIÇÃO duas vezes.</t>
        </is>
      </c>
    </row>
    <row r="16">
      <c r="A16" s="3" t="inlineStr">
        <is>
          <t>GRUPOS DE DOIS ENCONTROS cobrem UMA lição por encontro: avance uma vez. O ciclo conta lições, não dias.</t>
        </is>
      </c>
    </row>
    <row r="17">
      <c r="A17" s="11" t="inlineStr"/>
    </row>
    <row r="18">
      <c r="A18" s="3" t="inlineStr">
        <is>
          <t>NADA das colunas I, J e T sai deste arquivo. O Quadro da Turma só enxerga a aba QUADRO.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6" customWidth="1" min="1" max="1"/>
    <col width="9" customWidth="1" min="2" max="2"/>
    <col width="34" customWidth="1" min="3" max="3"/>
    <col width="8" customWidth="1" min="4" max="4"/>
    <col width="32" customWidth="1" min="5" max="5"/>
    <col width="13" customWidth="1" min="6" max="6"/>
    <col width="24" customWidth="1" min="7" max="7"/>
    <col width="9" customWidth="1" min="8" max="8"/>
    <col width="48" customWidth="1" min="9" max="9"/>
  </cols>
  <sheetData>
    <row r="1" ht="28" customHeight="1">
      <c r="A1" s="5" t="inlineStr">
        <is>
          <t>ALUNO</t>
        </is>
      </c>
      <c r="B1" s="5" t="inlineStr">
        <is>
          <t>GROWTH</t>
        </is>
      </c>
      <c r="C1" s="5" t="inlineStr">
        <is>
          <t>ONDE VOCÊ ESTÁ</t>
        </is>
      </c>
      <c r="D1" s="5" t="inlineStr">
        <is>
          <t>LIÇÃO</t>
        </is>
      </c>
      <c r="E1" s="5" t="inlineStr">
        <is>
          <t>LANGUAGE FOCUS DE HOJE</t>
        </is>
      </c>
      <c r="F1" s="5" t="inlineStr">
        <is>
          <t>APRESENTA HOJE?</t>
        </is>
      </c>
      <c r="G1" s="5" t="inlineStr">
        <is>
          <t>AÇÕES</t>
        </is>
      </c>
      <c r="H1" s="5" t="inlineStr">
        <is>
          <t>LANG. POINTS</t>
        </is>
      </c>
      <c r="I1" s="5" t="inlineStr">
        <is>
          <t>LEMBRETE — PRÓXIMA AULA</t>
        </is>
      </c>
    </row>
    <row r="2" ht="40" customHeight="1">
      <c r="A2" s="7">
        <f>PAINEL!A4</f>
        <v/>
      </c>
      <c r="B2" s="7">
        <f>PAINEL!E4</f>
        <v/>
      </c>
      <c r="C2" s="7">
        <f>"Evolve "&amp;PAINEL!B4&amp;" · Unit "&amp;PAINEL!C4&amp;" — "&amp;PAINEL!K4</f>
        <v/>
      </c>
      <c r="D2" s="7">
        <f>PAINEL!D4</f>
        <v/>
      </c>
      <c r="E2" s="7">
        <f>PAINEL!N4</f>
        <v/>
      </c>
      <c r="F2" s="7">
        <f>PAINEL!P4</f>
        <v/>
      </c>
      <c r="G2" s="7">
        <f>PAINEL!O4</f>
        <v/>
      </c>
      <c r="H2" s="7">
        <f>PAINEL!S4</f>
        <v/>
      </c>
      <c r="I2" s="7">
        <f>PAINEL!R4</f>
        <v/>
      </c>
    </row>
    <row r="3" ht="40" customHeight="1">
      <c r="A3" s="7">
        <f>PAINEL!A5</f>
        <v/>
      </c>
      <c r="B3" s="7">
        <f>PAINEL!E5</f>
        <v/>
      </c>
      <c r="C3" s="7">
        <f>"Evolve "&amp;PAINEL!B5&amp;" · Unit "&amp;PAINEL!C5&amp;" — "&amp;PAINEL!K5</f>
        <v/>
      </c>
      <c r="D3" s="7">
        <f>PAINEL!D5</f>
        <v/>
      </c>
      <c r="E3" s="7">
        <f>PAINEL!N5</f>
        <v/>
      </c>
      <c r="F3" s="7">
        <f>PAINEL!P5</f>
        <v/>
      </c>
      <c r="G3" s="7">
        <f>PAINEL!O5</f>
        <v/>
      </c>
      <c r="H3" s="7">
        <f>PAINEL!S5</f>
        <v/>
      </c>
      <c r="I3" s="7">
        <f>PAINEL!R5</f>
        <v/>
      </c>
    </row>
    <row r="4" ht="40" customHeight="1">
      <c r="A4" s="7">
        <f>PAINEL!A6</f>
        <v/>
      </c>
      <c r="B4" s="7">
        <f>PAINEL!E6</f>
        <v/>
      </c>
      <c r="C4" s="7">
        <f>"Evolve "&amp;PAINEL!B6&amp;" · Unit "&amp;PAINEL!C6&amp;" — "&amp;PAINEL!K6</f>
        <v/>
      </c>
      <c r="D4" s="7">
        <f>PAINEL!D6</f>
        <v/>
      </c>
      <c r="E4" s="7">
        <f>PAINEL!N6</f>
        <v/>
      </c>
      <c r="F4" s="7">
        <f>PAINEL!P6</f>
        <v/>
      </c>
      <c r="G4" s="7">
        <f>PAINEL!O6</f>
        <v/>
      </c>
      <c r="H4" s="7">
        <f>PAINEL!S6</f>
        <v/>
      </c>
      <c r="I4" s="7">
        <f>PAINEL!R6</f>
        <v/>
      </c>
    </row>
    <row r="5" ht="40" customHeight="1">
      <c r="A5" s="7">
        <f>PAINEL!A7</f>
        <v/>
      </c>
      <c r="B5" s="7">
        <f>PAINEL!E7</f>
        <v/>
      </c>
      <c r="C5" s="7">
        <f>"Evolve "&amp;PAINEL!B7&amp;" · Unit "&amp;PAINEL!C7&amp;" — "&amp;PAINEL!K7</f>
        <v/>
      </c>
      <c r="D5" s="7">
        <f>PAINEL!D7</f>
        <v/>
      </c>
      <c r="E5" s="7">
        <f>PAINEL!N7</f>
        <v/>
      </c>
      <c r="F5" s="7">
        <f>PAINEL!P7</f>
        <v/>
      </c>
      <c r="G5" s="7">
        <f>PAINEL!O7</f>
        <v/>
      </c>
      <c r="H5" s="7">
        <f>PAINEL!S7</f>
        <v/>
      </c>
      <c r="I5" s="7">
        <f>PAINEL!R7</f>
        <v/>
      </c>
    </row>
    <row r="8">
      <c r="A8" s="10" t="inlineStr">
        <is>
          <t>ESTA É A ÚNICA ABA QUE SAI DESTE ARQUIVO</t>
        </is>
      </c>
    </row>
    <row r="9">
      <c r="A9" s="3" t="inlineStr">
        <is>
          <t>O Quadro da Turma lê exatamente QUADRO!A1:I5 por IMPORTRANGE. Nada fora deste retângulo é alcançável a partir de uma ficha de aluno.</t>
        </is>
      </c>
    </row>
    <row r="10">
      <c r="A10" s="3" t="inlineStr">
        <is>
          <t>Não tem nota. Não tem tentativa. Não tem alerta. Por construção, não por disciplina.</t>
        </is>
      </c>
    </row>
    <row r="11">
      <c r="A11" s="3" t="inlineStr">
        <is>
          <t>Não digite nada aqui: as nove colunas são espelho do PAINEL.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3"/>
  <sheetViews>
    <sheetView workbookViewId="0">
      <pane ySplit="1" topLeftCell="A2" activePane="bottomLeft" state="frozen"/>
      <selection pane="bottomLeft" activeCell="A1" sqref="A1"/>
    </sheetView>
  </sheetViews>
  <sheetFormatPr baseColWidth="8" defaultRowHeight="15"/>
  <cols>
    <col width="10" customWidth="1" min="1" max="1"/>
    <col width="7" customWidth="1" min="2" max="2"/>
    <col width="8" customWidth="1" min="3" max="3"/>
    <col width="6" customWidth="1" min="4" max="4"/>
    <col width="26" customWidth="1" min="5" max="5"/>
    <col width="44" customWidth="1" min="6" max="6"/>
    <col width="44" customWidth="1" min="7" max="7"/>
    <col width="18" customWidth="1" min="8" max="8"/>
    <col width="18" customWidth="1" min="9" max="9"/>
    <col width="12" customWidth="1" min="10" max="10"/>
  </cols>
  <sheetData>
    <row r="1" ht="28" customHeight="1">
      <c r="A1" s="5" t="inlineStr">
        <is>
          <t>CHAVE</t>
        </is>
      </c>
      <c r="B1" s="5" t="inlineStr">
        <is>
          <t>NÍVEL</t>
        </is>
      </c>
      <c r="C1" s="5" t="inlineStr">
        <is>
          <t>EVOLVE</t>
        </is>
      </c>
      <c r="D1" s="5" t="inlineStr">
        <is>
          <t>UN.</t>
        </is>
      </c>
      <c r="E1" s="5" t="inlineStr">
        <is>
          <t>TÍTULO</t>
        </is>
      </c>
      <c r="F1" s="5" t="inlineStr">
        <is>
          <t>LIÇÃO 1 (tópico)</t>
        </is>
      </c>
      <c r="G1" s="5" t="inlineStr">
        <is>
          <t>LIÇÃO 2 (tópico)</t>
        </is>
      </c>
      <c r="H1" s="5" t="inlineStr">
        <is>
          <t>AÇÃO 1</t>
        </is>
      </c>
      <c r="I1" s="5" t="inlineStr">
        <is>
          <t>AÇÃO 2</t>
        </is>
      </c>
      <c r="J1" s="5" t="inlineStr">
        <is>
          <t>CONFERIDO?</t>
        </is>
      </c>
    </row>
    <row r="2">
      <c r="A2" s="12" t="inlineStr">
        <is>
          <t>E1-U1</t>
        </is>
      </c>
      <c r="B2" s="12" t="inlineStr">
        <is>
          <t>A1</t>
        </is>
      </c>
      <c r="C2" s="12" t="n">
        <v>1</v>
      </c>
      <c r="D2" s="12" t="n">
        <v>1</v>
      </c>
      <c r="E2" s="12" t="inlineStr">
        <is>
          <t>I am…</t>
        </is>
      </c>
      <c r="F2" s="12" t="inlineStr">
        <is>
          <t>I am, you are</t>
        </is>
      </c>
      <c r="G2" s="12" t="inlineStr">
        <is>
          <t>What's…?; It's…</t>
        </is>
      </c>
      <c r="H2" s="12" t="inlineStr">
        <is>
          <t>Identify</t>
        </is>
      </c>
      <c r="I2" s="12" t="inlineStr">
        <is>
          <t>—</t>
        </is>
      </c>
      <c r="J2" s="12" t="inlineStr">
        <is>
          <t>inferida</t>
        </is>
      </c>
    </row>
    <row r="3">
      <c r="A3" s="12" t="inlineStr">
        <is>
          <t>E1-U2</t>
        </is>
      </c>
      <c r="B3" s="12" t="inlineStr">
        <is>
          <t>A1</t>
        </is>
      </c>
      <c r="C3" s="12" t="n">
        <v>1</v>
      </c>
      <c r="D3" s="12" t="n">
        <v>2</v>
      </c>
      <c r="E3" s="12" t="inlineStr">
        <is>
          <t>Great people</t>
        </is>
      </c>
      <c r="F3" s="12" t="inlineStr">
        <is>
          <t>is/are (afirm. e pergunta)</t>
        </is>
      </c>
      <c r="G3" s="12" t="inlineStr">
        <is>
          <t>is not/are not</t>
        </is>
      </c>
      <c r="H3" s="12" t="inlineStr">
        <is>
          <t>Identify</t>
        </is>
      </c>
      <c r="I3" s="12" t="inlineStr">
        <is>
          <t>Describe</t>
        </is>
      </c>
      <c r="J3" s="12" t="inlineStr">
        <is>
          <t>inferida</t>
        </is>
      </c>
    </row>
    <row r="4">
      <c r="A4" s="12" t="inlineStr">
        <is>
          <t>E1-U3</t>
        </is>
      </c>
      <c r="B4" s="12" t="inlineStr">
        <is>
          <t>A1</t>
        </is>
      </c>
      <c r="C4" s="12" t="n">
        <v>1</v>
      </c>
      <c r="D4" s="12" t="n">
        <v>3</v>
      </c>
      <c r="E4" s="12" t="inlineStr">
        <is>
          <t>Come in</t>
        </is>
      </c>
      <c r="F4" s="12" t="inlineStr">
        <is>
          <t>Possessive adjectives</t>
        </is>
      </c>
      <c r="G4" s="12" t="inlineStr">
        <is>
          <t>possessive 's e s'; It is</t>
        </is>
      </c>
      <c r="H4" s="12" t="inlineStr">
        <is>
          <t>Describe</t>
        </is>
      </c>
      <c r="I4" s="12" t="inlineStr">
        <is>
          <t>Identify</t>
        </is>
      </c>
      <c r="J4" s="12" t="inlineStr">
        <is>
          <t>inferida</t>
        </is>
      </c>
    </row>
    <row r="5">
      <c r="A5" s="12" t="inlineStr">
        <is>
          <t>E1-U4</t>
        </is>
      </c>
      <c r="B5" s="12" t="inlineStr">
        <is>
          <t>A1</t>
        </is>
      </c>
      <c r="C5" s="12" t="n">
        <v>1</v>
      </c>
      <c r="D5" s="12" t="n">
        <v>4</v>
      </c>
      <c r="E5" s="12" t="inlineStr">
        <is>
          <t>I love it!</t>
        </is>
      </c>
      <c r="F5" s="12" t="inlineStr">
        <is>
          <t>Simple present (I/you/we)</t>
        </is>
      </c>
      <c r="G5" s="12" t="inlineStr">
        <is>
          <t>pergunta sim/não</t>
        </is>
      </c>
      <c r="H5" s="12" t="inlineStr">
        <is>
          <t>Describe</t>
        </is>
      </c>
      <c r="I5" s="12" t="inlineStr">
        <is>
          <t>Argue</t>
        </is>
      </c>
      <c r="J5" s="12" t="inlineStr">
        <is>
          <t>inferida</t>
        </is>
      </c>
    </row>
    <row r="6">
      <c r="A6" s="12" t="inlineStr">
        <is>
          <t>E1-U5</t>
        </is>
      </c>
      <c r="B6" s="12" t="inlineStr">
        <is>
          <t>A1</t>
        </is>
      </c>
      <c r="C6" s="12" t="n">
        <v>1</v>
      </c>
      <c r="D6" s="12" t="n">
        <v>5</v>
      </c>
      <c r="E6" s="12" t="inlineStr">
        <is>
          <t>Mondays and fundays</t>
        </is>
      </c>
      <c r="F6" s="12" t="inlineStr">
        <is>
          <t>Simple present (he/she/they)</t>
        </is>
      </c>
      <c r="G6" s="12" t="inlineStr">
        <is>
          <t>questions</t>
        </is>
      </c>
      <c r="H6" s="12" t="inlineStr">
        <is>
          <t>Describe</t>
        </is>
      </c>
      <c r="I6" s="12" t="inlineStr">
        <is>
          <t>—</t>
        </is>
      </c>
      <c r="J6" s="12" t="inlineStr">
        <is>
          <t>inferida</t>
        </is>
      </c>
    </row>
    <row r="7">
      <c r="A7" s="12" t="inlineStr">
        <is>
          <t>E1-U6</t>
        </is>
      </c>
      <c r="B7" s="12" t="inlineStr">
        <is>
          <t>A1</t>
        </is>
      </c>
      <c r="C7" s="12" t="n">
        <v>1</v>
      </c>
      <c r="D7" s="12" t="n">
        <v>6</v>
      </c>
      <c r="E7" s="12" t="inlineStr">
        <is>
          <t>Zoom in, zoom out</t>
        </is>
      </c>
      <c r="F7" s="12" t="inlineStr">
        <is>
          <t>There's/There are</t>
        </is>
      </c>
      <c r="G7" s="12" t="inlineStr">
        <is>
          <t>a lot of, some, no; count/non-count</t>
        </is>
      </c>
      <c r="H7" s="12" t="inlineStr">
        <is>
          <t>Quantify</t>
        </is>
      </c>
      <c r="I7" s="12" t="inlineStr">
        <is>
          <t>Describe</t>
        </is>
      </c>
      <c r="J7" s="12" t="inlineStr">
        <is>
          <t>inferida</t>
        </is>
      </c>
    </row>
    <row r="8">
      <c r="A8" s="12" t="inlineStr">
        <is>
          <t>E1-U7</t>
        </is>
      </c>
      <c r="B8" s="12" t="inlineStr">
        <is>
          <t>A1</t>
        </is>
      </c>
      <c r="C8" s="12" t="n">
        <v>1</v>
      </c>
      <c r="D8" s="12" t="n">
        <v>7</v>
      </c>
      <c r="E8" s="12" t="inlineStr">
        <is>
          <t>Now is good</t>
        </is>
      </c>
      <c r="F8" s="12" t="inlineStr">
        <is>
          <t>Present continuous (afirm. e pergunta)</t>
        </is>
      </c>
      <c r="G8" s="12" t="inlineStr">
        <is>
          <t>⚠ conferir no livro — o catálogo traz um tópico só</t>
        </is>
      </c>
      <c r="H8" s="12" t="inlineStr">
        <is>
          <t>Describe</t>
        </is>
      </c>
      <c r="I8" s="12" t="inlineStr">
        <is>
          <t>—</t>
        </is>
      </c>
      <c r="J8" s="12" t="inlineStr">
        <is>
          <t>⚠ CONFERIR</t>
        </is>
      </c>
    </row>
    <row r="9">
      <c r="A9" s="12" t="inlineStr">
        <is>
          <t>E1-U8</t>
        </is>
      </c>
      <c r="B9" s="12" t="inlineStr">
        <is>
          <t>A1</t>
        </is>
      </c>
      <c r="C9" s="12" t="n">
        <v>1</v>
      </c>
      <c r="D9" s="12" t="n">
        <v>8</v>
      </c>
      <c r="E9" s="12" t="inlineStr">
        <is>
          <t>You're good!</t>
        </is>
      </c>
      <c r="F9" s="12" t="inlineStr">
        <is>
          <t>can/can't (habilidade e possibilidade)</t>
        </is>
      </c>
      <c r="G9" s="12" t="inlineStr">
        <is>
          <t>well</t>
        </is>
      </c>
      <c r="H9" s="12" t="inlineStr">
        <is>
          <t>Ability &amp; Progress</t>
        </is>
      </c>
      <c r="I9" s="12" t="inlineStr">
        <is>
          <t>Describe</t>
        </is>
      </c>
      <c r="J9" s="12" t="inlineStr">
        <is>
          <t>inferida</t>
        </is>
      </c>
    </row>
    <row r="10">
      <c r="A10" s="12" t="inlineStr">
        <is>
          <t>E1-U9</t>
        </is>
      </c>
      <c r="B10" s="12" t="inlineStr">
        <is>
          <t>A1</t>
        </is>
      </c>
      <c r="C10" s="12" t="n">
        <v>1</v>
      </c>
      <c r="D10" s="12" t="n">
        <v>9</v>
      </c>
      <c r="E10" s="12" t="inlineStr">
        <is>
          <t>Places to go</t>
        </is>
      </c>
      <c r="F10" s="12" t="inlineStr">
        <is>
          <t>this/these</t>
        </is>
      </c>
      <c r="G10" s="12" t="inlineStr">
        <is>
          <t>like to, want to, need to, have to</t>
        </is>
      </c>
      <c r="H10" s="12" t="inlineStr">
        <is>
          <t>Plan</t>
        </is>
      </c>
      <c r="I10" s="12" t="inlineStr">
        <is>
          <t>Regulate</t>
        </is>
      </c>
      <c r="J10" s="12" t="inlineStr">
        <is>
          <t>inferida</t>
        </is>
      </c>
    </row>
    <row r="11">
      <c r="A11" s="12" t="inlineStr">
        <is>
          <t>E1-U10</t>
        </is>
      </c>
      <c r="B11" s="12" t="inlineStr">
        <is>
          <t>A1</t>
        </is>
      </c>
      <c r="C11" s="12" t="n">
        <v>1</v>
      </c>
      <c r="D11" s="12" t="n">
        <v>10</v>
      </c>
      <c r="E11" s="12" t="inlineStr">
        <is>
          <t>Get ready</t>
        </is>
      </c>
      <c r="F11" s="12" t="inlineStr">
        <is>
          <t>be going to (afirm. e pergunta)</t>
        </is>
      </c>
      <c r="G11" s="12" t="inlineStr">
        <is>
          <t>⚠ conferir no livro — o catálogo traz um tópico só</t>
        </is>
      </c>
      <c r="H11" s="12" t="inlineStr">
        <is>
          <t>Plan</t>
        </is>
      </c>
      <c r="I11" s="12" t="inlineStr">
        <is>
          <t>—</t>
        </is>
      </c>
      <c r="J11" s="12" t="inlineStr">
        <is>
          <t>⚠ CONFERIR</t>
        </is>
      </c>
    </row>
    <row r="12">
      <c r="A12" s="12" t="inlineStr">
        <is>
          <t>E1-U11</t>
        </is>
      </c>
      <c r="B12" s="12" t="inlineStr">
        <is>
          <t>A1</t>
        </is>
      </c>
      <c r="C12" s="12" t="n">
        <v>1</v>
      </c>
      <c r="D12" s="12" t="n">
        <v>11</v>
      </c>
      <c r="E12" s="12" t="inlineStr">
        <is>
          <t>Colorful memories</t>
        </is>
      </c>
      <c r="F12" s="12" t="inlineStr">
        <is>
          <t>was/were (afirm. e pergunta)</t>
        </is>
      </c>
      <c r="G12" s="12" t="inlineStr">
        <is>
          <t>⚠ conferir no livro — o catálogo traz um tópico só</t>
        </is>
      </c>
      <c r="H12" s="12" t="inlineStr">
        <is>
          <t>Narrate</t>
        </is>
      </c>
      <c r="I12" s="12" t="inlineStr">
        <is>
          <t>Describe</t>
        </is>
      </c>
      <c r="J12" s="12" t="inlineStr">
        <is>
          <t>⚠ CONFERIR</t>
        </is>
      </c>
    </row>
    <row r="13">
      <c r="A13" s="12" t="inlineStr">
        <is>
          <t>E1-U12</t>
        </is>
      </c>
      <c r="B13" s="12" t="inlineStr">
        <is>
          <t>A1</t>
        </is>
      </c>
      <c r="C13" s="12" t="n">
        <v>1</v>
      </c>
      <c r="D13" s="12" t="n">
        <v>12</v>
      </c>
      <c r="E13" s="12" t="inlineStr">
        <is>
          <t>Stop, eat, go</t>
        </is>
      </c>
      <c r="F13" s="12" t="inlineStr">
        <is>
          <t>Simple past (afirm. e pergunta)</t>
        </is>
      </c>
      <c r="G13" s="12" t="inlineStr">
        <is>
          <t>any</t>
        </is>
      </c>
      <c r="H13" s="12" t="inlineStr">
        <is>
          <t>Narrate</t>
        </is>
      </c>
      <c r="I13" s="12" t="inlineStr">
        <is>
          <t>Quantify</t>
        </is>
      </c>
      <c r="J13" s="12" t="inlineStr">
        <is>
          <t>inferida</t>
        </is>
      </c>
    </row>
    <row r="14">
      <c r="A14" s="12" t="inlineStr">
        <is>
          <t>E2-U1</t>
        </is>
      </c>
      <c r="B14" s="12" t="inlineStr">
        <is>
          <t>A2</t>
        </is>
      </c>
      <c r="C14" s="12" t="n">
        <v>2</v>
      </c>
      <c r="D14" s="12" t="n">
        <v>1</v>
      </c>
      <c r="E14" s="12" t="inlineStr">
        <is>
          <t>Connections</t>
        </is>
      </c>
      <c r="F14" s="12" t="inlineStr">
        <is>
          <t>be</t>
        </is>
      </c>
      <c r="G14" s="12" t="inlineStr">
        <is>
          <t>possessive adjectives e pronouns; possessive 's</t>
        </is>
      </c>
      <c r="H14" s="12" t="inlineStr">
        <is>
          <t>Identify</t>
        </is>
      </c>
      <c r="I14" s="12" t="inlineStr">
        <is>
          <t>—</t>
        </is>
      </c>
      <c r="J14" s="12" t="inlineStr">
        <is>
          <t>inferida</t>
        </is>
      </c>
    </row>
    <row r="15">
      <c r="A15" s="12" t="inlineStr">
        <is>
          <t>E2-U2</t>
        </is>
      </c>
      <c r="B15" s="12" t="inlineStr">
        <is>
          <t>A2</t>
        </is>
      </c>
      <c r="C15" s="12" t="n">
        <v>2</v>
      </c>
      <c r="D15" s="12" t="n">
        <v>2</v>
      </c>
      <c r="E15" s="12" t="inlineStr">
        <is>
          <t>Work and Study</t>
        </is>
      </c>
      <c r="F15" s="12" t="inlineStr">
        <is>
          <t>Simple present (hábitos)</t>
        </is>
      </c>
      <c r="G15" s="12" t="inlineStr">
        <is>
          <t>adverbs of frequency; demonstratives</t>
        </is>
      </c>
      <c r="H15" s="12" t="inlineStr">
        <is>
          <t>Describe</t>
        </is>
      </c>
      <c r="I15" s="12" t="inlineStr">
        <is>
          <t>—</t>
        </is>
      </c>
      <c r="J15" s="12" t="inlineStr">
        <is>
          <t>inferida</t>
        </is>
      </c>
    </row>
    <row r="16">
      <c r="A16" s="12" t="inlineStr">
        <is>
          <t>E2-U3</t>
        </is>
      </c>
      <c r="B16" s="12" t="inlineStr">
        <is>
          <t>A2</t>
        </is>
      </c>
      <c r="C16" s="12" t="n">
        <v>2</v>
      </c>
      <c r="D16" s="12" t="n">
        <v>3</v>
      </c>
      <c r="E16" s="12" t="inlineStr">
        <is>
          <t>Let's Move</t>
        </is>
      </c>
      <c r="F16" s="12" t="inlineStr">
        <is>
          <t>Present continuous</t>
        </is>
      </c>
      <c r="G16" s="12" t="inlineStr">
        <is>
          <t>contraste simple present x continuous</t>
        </is>
      </c>
      <c r="H16" s="12" t="inlineStr">
        <is>
          <t>Describe</t>
        </is>
      </c>
      <c r="I16" s="12" t="inlineStr">
        <is>
          <t>—</t>
        </is>
      </c>
      <c r="J16" s="12" t="inlineStr">
        <is>
          <t>inferida</t>
        </is>
      </c>
    </row>
    <row r="17">
      <c r="A17" s="12" t="inlineStr">
        <is>
          <t>E2-U4</t>
        </is>
      </c>
      <c r="B17" s="12" t="inlineStr">
        <is>
          <t>A2</t>
        </is>
      </c>
      <c r="C17" s="12" t="n">
        <v>2</v>
      </c>
      <c r="D17" s="12" t="n">
        <v>4</v>
      </c>
      <c r="E17" s="12" t="inlineStr">
        <is>
          <t>Good Times</t>
        </is>
      </c>
      <c r="F17" s="12" t="inlineStr">
        <is>
          <t>Present continuous (planos futuros)</t>
        </is>
      </c>
      <c r="G17" s="12" t="inlineStr">
        <is>
          <t>object pronouns</t>
        </is>
      </c>
      <c r="H17" s="12" t="inlineStr">
        <is>
          <t>Plan</t>
        </is>
      </c>
      <c r="I17" s="12" t="inlineStr">
        <is>
          <t>Describe</t>
        </is>
      </c>
      <c r="J17" s="12" t="inlineStr">
        <is>
          <t>inferida</t>
        </is>
      </c>
    </row>
    <row r="18">
      <c r="A18" s="12" t="inlineStr">
        <is>
          <t>E2-U5</t>
        </is>
      </c>
      <c r="B18" s="12" t="inlineStr">
        <is>
          <t>A2</t>
        </is>
      </c>
      <c r="C18" s="12" t="n">
        <v>2</v>
      </c>
      <c r="D18" s="12" t="n">
        <v>5</v>
      </c>
      <c r="E18" s="12" t="inlineStr">
        <is>
          <t>Firsts and Lasts</t>
        </is>
      </c>
      <c r="F18" s="12" t="inlineStr">
        <is>
          <t>Simple past (afirm., neg. e pergunta)</t>
        </is>
      </c>
      <c r="G18" s="12" t="inlineStr">
        <is>
          <t>⚠ conferir no livro — o catálogo traz um tópico só</t>
        </is>
      </c>
      <c r="H18" s="12" t="inlineStr">
        <is>
          <t>Narrate</t>
        </is>
      </c>
      <c r="I18" s="12" t="inlineStr">
        <is>
          <t>React</t>
        </is>
      </c>
      <c r="J18" s="12" t="inlineStr">
        <is>
          <t>⚠ CONFERIR</t>
        </is>
      </c>
    </row>
    <row r="19">
      <c r="A19" s="12" t="inlineStr">
        <is>
          <t>E2-U6</t>
        </is>
      </c>
      <c r="B19" s="12" t="inlineStr">
        <is>
          <t>A2</t>
        </is>
      </c>
      <c r="C19" s="12" t="n">
        <v>2</v>
      </c>
      <c r="D19" s="12" t="n">
        <v>6</v>
      </c>
      <c r="E19" s="12" t="inlineStr">
        <is>
          <t>Buy Now, Pay Later</t>
        </is>
      </c>
      <c r="F19" s="12" t="inlineStr">
        <is>
          <t>be going to</t>
        </is>
      </c>
      <c r="G19" s="12" t="inlineStr">
        <is>
          <t>determiners (no/none, some, many, most, all)</t>
        </is>
      </c>
      <c r="H19" s="12" t="inlineStr">
        <is>
          <t>Plan</t>
        </is>
      </c>
      <c r="I19" s="12" t="inlineStr">
        <is>
          <t>Quantify</t>
        </is>
      </c>
      <c r="J19" s="12" t="inlineStr">
        <is>
          <t>inferida</t>
        </is>
      </c>
    </row>
    <row r="20">
      <c r="A20" s="12" t="inlineStr">
        <is>
          <t>E2-U7</t>
        </is>
      </c>
      <c r="B20" s="12" t="inlineStr">
        <is>
          <t>A2</t>
        </is>
      </c>
      <c r="C20" s="12" t="n">
        <v>2</v>
      </c>
      <c r="D20" s="12" t="n">
        <v>7</v>
      </c>
      <c r="E20" s="12" t="inlineStr">
        <is>
          <t>Eat, Drink, Be Happy</t>
        </is>
      </c>
      <c r="F20" s="12" t="inlineStr">
        <is>
          <t>Quantifiers</t>
        </is>
      </c>
      <c r="G20" s="12" t="inlineStr">
        <is>
          <t>verb patterns</t>
        </is>
      </c>
      <c r="H20" s="12" t="inlineStr">
        <is>
          <t>Quantify</t>
        </is>
      </c>
      <c r="I20" s="12" t="inlineStr">
        <is>
          <t>Describe</t>
        </is>
      </c>
      <c r="J20" s="12" t="inlineStr">
        <is>
          <t>inferida</t>
        </is>
      </c>
    </row>
    <row r="21">
      <c r="A21" s="12" t="inlineStr">
        <is>
          <t>E2-U8</t>
        </is>
      </c>
      <c r="B21" s="12" t="inlineStr">
        <is>
          <t>A2</t>
        </is>
      </c>
      <c r="C21" s="12" t="n">
        <v>2</v>
      </c>
      <c r="D21" s="12" t="n">
        <v>8</v>
      </c>
      <c r="E21" s="12" t="inlineStr">
        <is>
          <t>Trips</t>
        </is>
      </c>
      <c r="F21" s="12" t="inlineStr">
        <is>
          <t>if/when</t>
        </is>
      </c>
      <c r="G21" s="12" t="inlineStr">
        <is>
          <t>giving reasons with to/for</t>
        </is>
      </c>
      <c r="H21" s="12" t="inlineStr">
        <is>
          <t>Plan</t>
        </is>
      </c>
      <c r="I21" s="12" t="inlineStr">
        <is>
          <t>Argue</t>
        </is>
      </c>
      <c r="J21" s="12" t="inlineStr">
        <is>
          <t>inferida</t>
        </is>
      </c>
    </row>
    <row r="22">
      <c r="A22" s="12" t="inlineStr">
        <is>
          <t>E2-U9</t>
        </is>
      </c>
      <c r="B22" s="12" t="inlineStr">
        <is>
          <t>A2</t>
        </is>
      </c>
      <c r="C22" s="12" t="n">
        <v>2</v>
      </c>
      <c r="D22" s="12" t="n">
        <v>9</v>
      </c>
      <c r="E22" s="12" t="inlineStr">
        <is>
          <t>Looking Good</t>
        </is>
      </c>
      <c r="F22" s="12" t="inlineStr">
        <is>
          <t>Comparative and superlative adjectives</t>
        </is>
      </c>
      <c r="G22" s="12" t="inlineStr">
        <is>
          <t>⚠ conferir no livro — o catálogo traz um tópico só</t>
        </is>
      </c>
      <c r="H22" s="12" t="inlineStr">
        <is>
          <t>Describe</t>
        </is>
      </c>
      <c r="I22" s="12" t="inlineStr">
        <is>
          <t>—</t>
        </is>
      </c>
      <c r="J22" s="12" t="inlineStr">
        <is>
          <t>⚠ CONFERIR</t>
        </is>
      </c>
    </row>
    <row r="23">
      <c r="A23" s="12" t="inlineStr">
        <is>
          <t>E2-U10</t>
        </is>
      </c>
      <c r="B23" s="12" t="inlineStr">
        <is>
          <t>A2</t>
        </is>
      </c>
      <c r="C23" s="12" t="n">
        <v>2</v>
      </c>
      <c r="D23" s="12" t="n">
        <v>10</v>
      </c>
      <c r="E23" s="12" t="inlineStr">
        <is>
          <t>Risky Business</t>
        </is>
      </c>
      <c r="F23" s="12" t="inlineStr">
        <is>
          <t>have to</t>
        </is>
      </c>
      <c r="G23" s="12" t="inlineStr">
        <is>
          <t>predictions com will/may/might</t>
        </is>
      </c>
      <c r="H23" s="12" t="inlineStr">
        <is>
          <t>Speculate</t>
        </is>
      </c>
      <c r="I23" s="12" t="inlineStr">
        <is>
          <t>Regulate</t>
        </is>
      </c>
      <c r="J23" s="12" t="inlineStr">
        <is>
          <t>inferida</t>
        </is>
      </c>
    </row>
    <row r="24">
      <c r="A24" s="12" t="inlineStr">
        <is>
          <t>E2-U11</t>
        </is>
      </c>
      <c r="B24" s="12" t="inlineStr">
        <is>
          <t>A2</t>
        </is>
      </c>
      <c r="C24" s="12" t="n">
        <v>2</v>
      </c>
      <c r="D24" s="12" t="n">
        <v>11</v>
      </c>
      <c r="E24" s="12" t="inlineStr">
        <is>
          <t>Me, Online</t>
        </is>
      </c>
      <c r="F24" s="12" t="inlineStr">
        <is>
          <t>Present perfect (experiências)</t>
        </is>
      </c>
      <c r="G24" s="12" t="inlineStr">
        <is>
          <t>present perfect x simple past</t>
        </is>
      </c>
      <c r="H24" s="12" t="inlineStr">
        <is>
          <t>Narrate</t>
        </is>
      </c>
      <c r="I24" s="12" t="inlineStr">
        <is>
          <t>Ability &amp; Progress</t>
        </is>
      </c>
      <c r="J24" s="12" t="inlineStr">
        <is>
          <t>inferida</t>
        </is>
      </c>
    </row>
    <row r="25">
      <c r="A25" s="12" t="inlineStr">
        <is>
          <t>E2-U12</t>
        </is>
      </c>
      <c r="B25" s="12" t="inlineStr">
        <is>
          <t>A2</t>
        </is>
      </c>
      <c r="C25" s="12" t="n">
        <v>2</v>
      </c>
      <c r="D25" s="12" t="n">
        <v>12</v>
      </c>
      <c r="E25" s="12" t="inlineStr">
        <is>
          <t>Outdoors</t>
        </is>
      </c>
      <c r="F25" s="12" t="inlineStr">
        <is>
          <t>be like</t>
        </is>
      </c>
      <c r="G25" s="12" t="inlineStr">
        <is>
          <t>relative pronouns (who/which/that)</t>
        </is>
      </c>
      <c r="H25" s="12" t="inlineStr">
        <is>
          <t>Describe</t>
        </is>
      </c>
      <c r="I25" s="12" t="inlineStr">
        <is>
          <t>—</t>
        </is>
      </c>
      <c r="J25" s="12" t="inlineStr">
        <is>
          <t>inferida</t>
        </is>
      </c>
    </row>
    <row r="26">
      <c r="A26" s="12" t="inlineStr">
        <is>
          <t>E3-U1</t>
        </is>
      </c>
      <c r="B26" s="12" t="inlineStr">
        <is>
          <t>B1</t>
        </is>
      </c>
      <c r="C26" s="12" t="n">
        <v>3</v>
      </c>
      <c r="D26" s="12" t="n">
        <v>1</v>
      </c>
      <c r="E26" s="12" t="inlineStr">
        <is>
          <t>Who we are</t>
        </is>
      </c>
      <c r="F26" s="12" t="inlineStr">
        <is>
          <t>Information questions</t>
        </is>
      </c>
      <c r="G26" s="12" t="inlineStr">
        <is>
          <t>indirect questions</t>
        </is>
      </c>
      <c r="H26" s="12" t="inlineStr">
        <is>
          <t>Identify</t>
        </is>
      </c>
      <c r="I26" s="12" t="inlineStr">
        <is>
          <t>Register &amp; Nuance</t>
        </is>
      </c>
      <c r="J26" s="12" t="inlineStr">
        <is>
          <t>inferida</t>
        </is>
      </c>
    </row>
    <row r="27">
      <c r="A27" s="12" t="inlineStr">
        <is>
          <t>E3-U2</t>
        </is>
      </c>
      <c r="B27" s="12" t="inlineStr">
        <is>
          <t>B1</t>
        </is>
      </c>
      <c r="C27" s="12" t="n">
        <v>3</v>
      </c>
      <c r="D27" s="12" t="n">
        <v>2</v>
      </c>
      <c r="E27" s="12" t="inlineStr">
        <is>
          <t>So much stuff</t>
        </is>
      </c>
      <c r="F27" s="12" t="inlineStr">
        <is>
          <t>Present perfect (ever/never/for/since</t>
        </is>
      </c>
      <c r="G27" s="12" t="inlineStr">
        <is>
          <t>already/yet)</t>
        </is>
      </c>
      <c r="H27" s="12" t="inlineStr">
        <is>
          <t>Narrate</t>
        </is>
      </c>
      <c r="I27" s="12" t="inlineStr">
        <is>
          <t>Describe</t>
        </is>
      </c>
      <c r="J27" s="12" t="inlineStr">
        <is>
          <t>inferida</t>
        </is>
      </c>
    </row>
    <row r="28">
      <c r="A28" s="12" t="inlineStr">
        <is>
          <t>E3-U3</t>
        </is>
      </c>
      <c r="B28" s="12" t="inlineStr">
        <is>
          <t>B1</t>
        </is>
      </c>
      <c r="C28" s="12" t="n">
        <v>3</v>
      </c>
      <c r="D28" s="12" t="n">
        <v>3</v>
      </c>
      <c r="E28" s="12" t="inlineStr">
        <is>
          <t>Smart moves</t>
        </is>
      </c>
      <c r="F28" s="12" t="inlineStr">
        <is>
          <t>Articles</t>
        </is>
      </c>
      <c r="G28" s="12" t="inlineStr">
        <is>
          <t>modals for advice</t>
        </is>
      </c>
      <c r="H28" s="12" t="inlineStr">
        <is>
          <t>Regulate</t>
        </is>
      </c>
      <c r="I28" s="12" t="inlineStr">
        <is>
          <t>Describe</t>
        </is>
      </c>
      <c r="J28" s="12" t="inlineStr">
        <is>
          <t>inferida</t>
        </is>
      </c>
    </row>
    <row r="29">
      <c r="A29" s="12" t="inlineStr">
        <is>
          <t>E3-U4</t>
        </is>
      </c>
      <c r="B29" s="12" t="inlineStr">
        <is>
          <t>B1</t>
        </is>
      </c>
      <c r="C29" s="12" t="n">
        <v>3</v>
      </c>
      <c r="D29" s="12" t="n">
        <v>4</v>
      </c>
      <c r="E29" s="12" t="inlineStr">
        <is>
          <t>Think first</t>
        </is>
      </c>
      <c r="F29" s="12" t="inlineStr">
        <is>
          <t>be going to/will</t>
        </is>
      </c>
      <c r="G29" s="12" t="inlineStr">
        <is>
          <t>will (decisão súbita); present continuous (futuro)</t>
        </is>
      </c>
      <c r="H29" s="12" t="inlineStr">
        <is>
          <t>Plan</t>
        </is>
      </c>
      <c r="I29" s="12" t="inlineStr">
        <is>
          <t>Speculate</t>
        </is>
      </c>
      <c r="J29" s="12" t="inlineStr">
        <is>
          <t>inferida</t>
        </is>
      </c>
    </row>
    <row r="30">
      <c r="A30" s="12" t="inlineStr">
        <is>
          <t>E3-U5</t>
        </is>
      </c>
      <c r="B30" s="12" t="inlineStr">
        <is>
          <t>B1</t>
        </is>
      </c>
      <c r="C30" s="12" t="n">
        <v>3</v>
      </c>
      <c r="D30" s="12" t="n">
        <v>5</v>
      </c>
      <c r="E30" s="12" t="inlineStr">
        <is>
          <t>And then…</t>
        </is>
      </c>
      <c r="F30" s="12" t="inlineStr">
        <is>
          <t>Simple past</t>
        </is>
      </c>
      <c r="G30" s="12" t="inlineStr">
        <is>
          <t>past continuous x simple past</t>
        </is>
      </c>
      <c r="H30" s="12" t="inlineStr">
        <is>
          <t>Narrate</t>
        </is>
      </c>
      <c r="I30" s="12" t="inlineStr">
        <is>
          <t>—</t>
        </is>
      </c>
      <c r="J30" s="12" t="inlineStr">
        <is>
          <t>inferida</t>
        </is>
      </c>
    </row>
    <row r="31">
      <c r="A31" s="12" t="inlineStr">
        <is>
          <t>E3-U6</t>
        </is>
      </c>
      <c r="B31" s="12" t="inlineStr">
        <is>
          <t>B1</t>
        </is>
      </c>
      <c r="C31" s="12" t="n">
        <v>3</v>
      </c>
      <c r="D31" s="12" t="n">
        <v>6</v>
      </c>
      <c r="E31" s="12" t="inlineStr">
        <is>
          <t>Impact</t>
        </is>
      </c>
      <c r="F31" s="12" t="inlineStr">
        <is>
          <t>Quantifiers</t>
        </is>
      </c>
      <c r="G31" s="12" t="inlineStr">
        <is>
          <t>real conditionals (presente e futuro)</t>
        </is>
      </c>
      <c r="H31" s="12" t="inlineStr">
        <is>
          <t>Argue</t>
        </is>
      </c>
      <c r="I31" s="12" t="inlineStr">
        <is>
          <t>Quantify</t>
        </is>
      </c>
      <c r="J31" s="12" t="inlineStr">
        <is>
          <t>inferida</t>
        </is>
      </c>
    </row>
    <row r="32">
      <c r="A32" s="12" t="inlineStr">
        <is>
          <t>E3-U7</t>
        </is>
      </c>
      <c r="B32" s="12" t="inlineStr">
        <is>
          <t>B1</t>
        </is>
      </c>
      <c r="C32" s="12" t="n">
        <v>3</v>
      </c>
      <c r="D32" s="12" t="n">
        <v>7</v>
      </c>
      <c r="E32" s="12" t="inlineStr">
        <is>
          <t>Entertain us</t>
        </is>
      </c>
      <c r="F32" s="12" t="inlineStr">
        <is>
          <t>used to</t>
        </is>
      </c>
      <c r="G32" s="12" t="inlineStr">
        <is>
          <t>comparisons (not) as…as</t>
        </is>
      </c>
      <c r="H32" s="12" t="inlineStr">
        <is>
          <t>Narrate</t>
        </is>
      </c>
      <c r="I32" s="12" t="inlineStr">
        <is>
          <t>Describe</t>
        </is>
      </c>
      <c r="J32" s="12" t="inlineStr">
        <is>
          <t>inferida</t>
        </is>
      </c>
    </row>
    <row r="33">
      <c r="A33" s="12" t="inlineStr">
        <is>
          <t>E3-U8</t>
        </is>
      </c>
      <c r="B33" s="12" t="inlineStr">
        <is>
          <t>B1</t>
        </is>
      </c>
      <c r="C33" s="12" t="n">
        <v>3</v>
      </c>
      <c r="D33" s="12" t="n">
        <v>8</v>
      </c>
      <c r="E33" s="12" t="inlineStr">
        <is>
          <t>Getting there</t>
        </is>
      </c>
      <c r="F33" s="12" t="inlineStr">
        <is>
          <t>Present perfect continuous</t>
        </is>
      </c>
      <c r="G33" s="12" t="inlineStr">
        <is>
          <t>contraste com present perfect</t>
        </is>
      </c>
      <c r="H33" s="12" t="inlineStr">
        <is>
          <t>Ability &amp; Progress</t>
        </is>
      </c>
      <c r="I33" s="12" t="inlineStr">
        <is>
          <t>Narrate</t>
        </is>
      </c>
      <c r="J33" s="12" t="inlineStr">
        <is>
          <t>inferida</t>
        </is>
      </c>
    </row>
    <row r="34">
      <c r="A34" s="12" t="inlineStr">
        <is>
          <t>E3-U9</t>
        </is>
      </c>
      <c r="B34" s="12" t="inlineStr">
        <is>
          <t>B1</t>
        </is>
      </c>
      <c r="C34" s="12" t="n">
        <v>3</v>
      </c>
      <c r="D34" s="12" t="n">
        <v>9</v>
      </c>
      <c r="E34" s="12" t="inlineStr">
        <is>
          <t>Make it work</t>
        </is>
      </c>
      <c r="F34" s="12" t="inlineStr">
        <is>
          <t>Modais de necessidade</t>
        </is>
      </c>
      <c r="G34" s="12" t="inlineStr">
        <is>
          <t>modais de proibição e permissão</t>
        </is>
      </c>
      <c r="H34" s="12" t="inlineStr">
        <is>
          <t>Regulate</t>
        </is>
      </c>
      <c r="I34" s="12" t="inlineStr">
        <is>
          <t>—</t>
        </is>
      </c>
      <c r="J34" s="12" t="inlineStr">
        <is>
          <t>inferida</t>
        </is>
      </c>
    </row>
    <row r="35">
      <c r="A35" s="12" t="inlineStr">
        <is>
          <t>E3-U10</t>
        </is>
      </c>
      <c r="B35" s="12" t="inlineStr">
        <is>
          <t>B1</t>
        </is>
      </c>
      <c r="C35" s="12" t="n">
        <v>3</v>
      </c>
      <c r="D35" s="12" t="n">
        <v>10</v>
      </c>
      <c r="E35" s="12" t="inlineStr">
        <is>
          <t>Why we buy</t>
        </is>
      </c>
      <c r="F35" s="12" t="inlineStr">
        <is>
          <t>Simple present passive</t>
        </is>
      </c>
      <c r="G35" s="12" t="inlineStr">
        <is>
          <t>simple past passive</t>
        </is>
      </c>
      <c r="H35" s="12" t="inlineStr">
        <is>
          <t>Describe</t>
        </is>
      </c>
      <c r="I35" s="12" t="inlineStr">
        <is>
          <t>Narrate</t>
        </is>
      </c>
      <c r="J35" s="12" t="inlineStr">
        <is>
          <t>inferida</t>
        </is>
      </c>
    </row>
    <row r="36">
      <c r="A36" s="12" t="inlineStr">
        <is>
          <t>E3-U11</t>
        </is>
      </c>
      <c r="B36" s="12" t="inlineStr">
        <is>
          <t>B1</t>
        </is>
      </c>
      <c r="C36" s="12" t="n">
        <v>3</v>
      </c>
      <c r="D36" s="12" t="n">
        <v>11</v>
      </c>
      <c r="E36" s="12" t="inlineStr">
        <is>
          <t>Pushing yourself</t>
        </is>
      </c>
      <c r="F36" s="12" t="inlineStr">
        <is>
          <t>Phrasal verbs</t>
        </is>
      </c>
      <c r="G36" s="12" t="inlineStr">
        <is>
          <t>unreal conditionals (presente e futuro)</t>
        </is>
      </c>
      <c r="H36" s="12" t="inlineStr">
        <is>
          <t>Suppose</t>
        </is>
      </c>
      <c r="I36" s="12" t="inlineStr">
        <is>
          <t>Ability &amp; Progress</t>
        </is>
      </c>
      <c r="J36" s="12" t="inlineStr">
        <is>
          <t>inferida</t>
        </is>
      </c>
    </row>
    <row r="37">
      <c r="A37" s="12" t="inlineStr">
        <is>
          <t>E3-U12</t>
        </is>
      </c>
      <c r="B37" s="12" t="inlineStr">
        <is>
          <t>B1</t>
        </is>
      </c>
      <c r="C37" s="12" t="n">
        <v>3</v>
      </c>
      <c r="D37" s="12" t="n">
        <v>12</v>
      </c>
      <c r="E37" s="12" t="inlineStr">
        <is>
          <t>Life's little lessons</t>
        </is>
      </c>
      <c r="F37" s="12" t="inlineStr">
        <is>
          <t>Indefinite pronouns</t>
        </is>
      </c>
      <c r="G37" s="12" t="inlineStr">
        <is>
          <t>reported speech</t>
        </is>
      </c>
      <c r="H37" s="12" t="inlineStr">
        <is>
          <t>Report</t>
        </is>
      </c>
      <c r="I37" s="12" t="inlineStr">
        <is>
          <t>Narrate</t>
        </is>
      </c>
      <c r="J37" s="12" t="inlineStr">
        <is>
          <t>inferida</t>
        </is>
      </c>
    </row>
    <row r="38">
      <c r="A38" s="12" t="inlineStr">
        <is>
          <t>E4-U1</t>
        </is>
      </c>
      <c r="B38" s="12" t="inlineStr">
        <is>
          <t>B1+</t>
        </is>
      </c>
      <c r="C38" s="12" t="n">
        <v>4</v>
      </c>
      <c r="D38" s="12" t="n">
        <v>1</v>
      </c>
      <c r="E38" s="12" t="inlineStr">
        <is>
          <t>And we're off!</t>
        </is>
      </c>
      <c r="F38" s="12" t="inlineStr">
        <is>
          <t>Tense review (simple e continuous)</t>
        </is>
      </c>
      <c r="G38" s="12" t="inlineStr">
        <is>
          <t>dynamic and stative verbs</t>
        </is>
      </c>
      <c r="H38" s="12" t="inlineStr">
        <is>
          <t>Describe</t>
        </is>
      </c>
      <c r="I38" s="12" t="inlineStr">
        <is>
          <t>Ability &amp; Progress</t>
        </is>
      </c>
      <c r="J38" s="12" t="inlineStr">
        <is>
          <t>inferida</t>
        </is>
      </c>
    </row>
    <row r="39">
      <c r="A39" s="12" t="inlineStr">
        <is>
          <t>E4-U2</t>
        </is>
      </c>
      <c r="B39" s="12" t="inlineStr">
        <is>
          <t>B1+</t>
        </is>
      </c>
      <c r="C39" s="12" t="n">
        <v>4</v>
      </c>
      <c r="D39" s="12" t="n">
        <v>2</v>
      </c>
      <c r="E39" s="12" t="inlineStr">
        <is>
          <t>The future of food</t>
        </is>
      </c>
      <c r="F39" s="12" t="inlineStr">
        <is>
          <t>Real conditionals</t>
        </is>
      </c>
      <c r="G39" s="12" t="inlineStr">
        <is>
          <t>clauses com after/until/when</t>
        </is>
      </c>
      <c r="H39" s="12" t="inlineStr">
        <is>
          <t>Plan</t>
        </is>
      </c>
      <c r="I39" s="12" t="inlineStr">
        <is>
          <t>Speculate</t>
        </is>
      </c>
      <c r="J39" s="12" t="inlineStr">
        <is>
          <t>inferida</t>
        </is>
      </c>
    </row>
    <row r="40">
      <c r="A40" s="12" t="inlineStr">
        <is>
          <t>E4-U3</t>
        </is>
      </c>
      <c r="B40" s="12" t="inlineStr">
        <is>
          <t>B1+</t>
        </is>
      </c>
      <c r="C40" s="12" t="n">
        <v>4</v>
      </c>
      <c r="D40" s="12" t="n">
        <v>3</v>
      </c>
      <c r="E40" s="12" t="inlineStr">
        <is>
          <t>What's it worth?</t>
        </is>
      </c>
      <c r="F40" s="12" t="inlineStr">
        <is>
          <t>too/enough</t>
        </is>
      </c>
      <c r="G40" s="12" t="inlineStr">
        <is>
          <t>modifying comparisons</t>
        </is>
      </c>
      <c r="H40" s="12" t="inlineStr">
        <is>
          <t>Quantify</t>
        </is>
      </c>
      <c r="I40" s="12" t="inlineStr">
        <is>
          <t>Argue</t>
        </is>
      </c>
      <c r="J40" s="12" t="inlineStr">
        <is>
          <t>inferida</t>
        </is>
      </c>
    </row>
    <row r="41">
      <c r="A41" s="12" t="inlineStr">
        <is>
          <t>E4-U4</t>
        </is>
      </c>
      <c r="B41" s="12" t="inlineStr">
        <is>
          <t>B1+</t>
        </is>
      </c>
      <c r="C41" s="12" t="n">
        <v>4</v>
      </c>
      <c r="D41" s="12" t="n">
        <v>4</v>
      </c>
      <c r="E41" s="12" t="inlineStr">
        <is>
          <t>Going glocal</t>
        </is>
      </c>
      <c r="F41" s="12" t="inlineStr">
        <is>
          <t>Modals of speculation</t>
        </is>
      </c>
      <c r="G41" s="12" t="inlineStr">
        <is>
          <t>subject and object relative clauses</t>
        </is>
      </c>
      <c r="H41" s="12" t="inlineStr">
        <is>
          <t>Speculate</t>
        </is>
      </c>
      <c r="I41" s="12" t="inlineStr">
        <is>
          <t>Describe</t>
        </is>
      </c>
      <c r="J41" s="12" t="inlineStr">
        <is>
          <t>inferida</t>
        </is>
      </c>
    </row>
    <row r="42">
      <c r="A42" s="12" t="inlineStr">
        <is>
          <t>E4-U5</t>
        </is>
      </c>
      <c r="B42" s="12" t="inlineStr">
        <is>
          <t>B1+</t>
        </is>
      </c>
      <c r="C42" s="12" t="n">
        <v>4</v>
      </c>
      <c r="D42" s="12" t="n">
        <v>5</v>
      </c>
      <c r="E42" s="12" t="inlineStr">
        <is>
          <t>True stories</t>
        </is>
      </c>
      <c r="F42" s="12" t="inlineStr">
        <is>
          <t>Past perfect</t>
        </is>
      </c>
      <c r="G42" s="12" t="inlineStr">
        <is>
          <t>was/were going to; was/were supposed to</t>
        </is>
      </c>
      <c r="H42" s="12" t="inlineStr">
        <is>
          <t>Narrate</t>
        </is>
      </c>
      <c r="I42" s="12" t="inlineStr">
        <is>
          <t>Suppose</t>
        </is>
      </c>
      <c r="J42" s="12" t="inlineStr">
        <is>
          <t>inferida</t>
        </is>
      </c>
    </row>
    <row r="43">
      <c r="A43" s="12" t="inlineStr">
        <is>
          <t>E4-U6</t>
        </is>
      </c>
      <c r="B43" s="12" t="inlineStr">
        <is>
          <t>B1+</t>
        </is>
      </c>
      <c r="C43" s="12" t="n">
        <v>4</v>
      </c>
      <c r="D43" s="12" t="n">
        <v>6</v>
      </c>
      <c r="E43" s="12" t="inlineStr">
        <is>
          <t>Community action</t>
        </is>
      </c>
      <c r="F43" s="12" t="inlineStr">
        <is>
          <t>Present and past passive</t>
        </is>
      </c>
      <c r="G43" s="12" t="inlineStr">
        <is>
          <t>passive com modals</t>
        </is>
      </c>
      <c r="H43" s="12" t="inlineStr">
        <is>
          <t>Describe</t>
        </is>
      </c>
      <c r="I43" s="12" t="inlineStr">
        <is>
          <t>Argue</t>
        </is>
      </c>
      <c r="J43" s="12" t="inlineStr">
        <is>
          <t>inferida</t>
        </is>
      </c>
    </row>
    <row r="44">
      <c r="A44" s="12" t="inlineStr">
        <is>
          <t>E4-U7</t>
        </is>
      </c>
      <c r="B44" s="12" t="inlineStr">
        <is>
          <t>B1+</t>
        </is>
      </c>
      <c r="C44" s="12" t="n">
        <v>4</v>
      </c>
      <c r="D44" s="12" t="n">
        <v>7</v>
      </c>
      <c r="E44" s="12" t="inlineStr">
        <is>
          <t>Can we talk?</t>
        </is>
      </c>
      <c r="F44" s="12" t="inlineStr">
        <is>
          <t>Reported statements</t>
        </is>
      </c>
      <c r="G44" s="12" t="inlineStr">
        <is>
          <t>reported questions</t>
        </is>
      </c>
      <c r="H44" s="12" t="inlineStr">
        <is>
          <t>Report</t>
        </is>
      </c>
      <c r="I44" s="12" t="inlineStr">
        <is>
          <t>Register &amp; Nuance</t>
        </is>
      </c>
      <c r="J44" s="12" t="inlineStr">
        <is>
          <t>inferida</t>
        </is>
      </c>
    </row>
    <row r="45">
      <c r="A45" s="12" t="inlineStr">
        <is>
          <t>E4-U8</t>
        </is>
      </c>
      <c r="B45" s="12" t="inlineStr">
        <is>
          <t>B1+</t>
        </is>
      </c>
      <c r="C45" s="12" t="n">
        <v>4</v>
      </c>
      <c r="D45" s="12" t="n">
        <v>8</v>
      </c>
      <c r="E45" s="12" t="inlineStr">
        <is>
          <t>Lifestyles</t>
        </is>
      </c>
      <c r="F45" s="12" t="inlineStr">
        <is>
          <t>Present unreal conditionals</t>
        </is>
      </c>
      <c r="G45" s="12" t="inlineStr">
        <is>
          <t>I wish</t>
        </is>
      </c>
      <c r="H45" s="12" t="inlineStr">
        <is>
          <t>Suppose</t>
        </is>
      </c>
      <c r="I45" s="12" t="inlineStr">
        <is>
          <t>React</t>
        </is>
      </c>
      <c r="J45" s="12" t="inlineStr">
        <is>
          <t>inferida</t>
        </is>
      </c>
    </row>
    <row r="46">
      <c r="A46" s="12" t="inlineStr">
        <is>
          <t>E4-U9</t>
        </is>
      </c>
      <c r="B46" s="12" t="inlineStr">
        <is>
          <t>B1+</t>
        </is>
      </c>
      <c r="C46" s="12" t="n">
        <v>4</v>
      </c>
      <c r="D46" s="12" t="n">
        <v>9</v>
      </c>
      <c r="E46" s="12" t="inlineStr">
        <is>
          <t>Yes, you can!</t>
        </is>
      </c>
      <c r="F46" s="12" t="inlineStr">
        <is>
          <t>Prohibition, permission e obligation (presente e passado)</t>
        </is>
      </c>
      <c r="G46" s="12" t="inlineStr">
        <is>
          <t>⚠ conferir no livro — o catálogo traz um tópico só</t>
        </is>
      </c>
      <c r="H46" s="12" t="inlineStr">
        <is>
          <t>Regulate</t>
        </is>
      </c>
      <c r="I46" s="12" t="inlineStr">
        <is>
          <t>—</t>
        </is>
      </c>
      <c r="J46" s="12" t="inlineStr">
        <is>
          <t>⚠ CONFERIR</t>
        </is>
      </c>
    </row>
    <row r="47">
      <c r="A47" s="12" t="inlineStr">
        <is>
          <t>E4-U10</t>
        </is>
      </c>
      <c r="B47" s="12" t="inlineStr">
        <is>
          <t>B1+</t>
        </is>
      </c>
      <c r="C47" s="12" t="n">
        <v>4</v>
      </c>
      <c r="D47" s="12" t="n">
        <v>10</v>
      </c>
      <c r="E47" s="12" t="inlineStr">
        <is>
          <t>What if…?</t>
        </is>
      </c>
      <c r="F47" s="12" t="inlineStr">
        <is>
          <t>Past unreal conditionals</t>
        </is>
      </c>
      <c r="G47" s="12" t="inlineStr">
        <is>
          <t>modals of past probability</t>
        </is>
      </c>
      <c r="H47" s="12" t="inlineStr">
        <is>
          <t>Suppose</t>
        </is>
      </c>
      <c r="I47" s="12" t="inlineStr">
        <is>
          <t>Speculate</t>
        </is>
      </c>
      <c r="J47" s="12" t="inlineStr">
        <is>
          <t>inferida</t>
        </is>
      </c>
    </row>
    <row r="48">
      <c r="A48" s="12" t="inlineStr">
        <is>
          <t>E4-U11</t>
        </is>
      </c>
      <c r="B48" s="12" t="inlineStr">
        <is>
          <t>B1+</t>
        </is>
      </c>
      <c r="C48" s="12" t="n">
        <v>4</v>
      </c>
      <c r="D48" s="12" t="n">
        <v>11</v>
      </c>
      <c r="E48" s="12" t="inlineStr">
        <is>
          <t>Contrasts</t>
        </is>
      </c>
      <c r="F48" s="12" t="inlineStr">
        <is>
          <t>Gerund/infinitive após forget/remember/stop</t>
        </is>
      </c>
      <c r="G48" s="12" t="inlineStr">
        <is>
          <t>causative help/let/make</t>
        </is>
      </c>
      <c r="H48" s="12" t="inlineStr">
        <is>
          <t>Regulate</t>
        </is>
      </c>
      <c r="I48" s="12" t="inlineStr">
        <is>
          <t>Describe</t>
        </is>
      </c>
      <c r="J48" s="12" t="inlineStr">
        <is>
          <t>inferida</t>
        </is>
      </c>
    </row>
    <row r="49">
      <c r="A49" s="12" t="inlineStr">
        <is>
          <t>E4-U12</t>
        </is>
      </c>
      <c r="B49" s="12" t="inlineStr">
        <is>
          <t>B1+</t>
        </is>
      </c>
      <c r="C49" s="12" t="n">
        <v>4</v>
      </c>
      <c r="D49" s="12" t="n">
        <v>12</v>
      </c>
      <c r="E49" s="12" t="inlineStr">
        <is>
          <t>Looking back</t>
        </is>
      </c>
      <c r="F49" s="12" t="inlineStr">
        <is>
          <t>Adding emphasis</t>
        </is>
      </c>
      <c r="G49" s="12" t="inlineStr">
        <is>
          <t>substitution and referencing</t>
        </is>
      </c>
      <c r="H49" s="12" t="inlineStr">
        <is>
          <t>Narrate</t>
        </is>
      </c>
      <c r="I49" s="12" t="inlineStr">
        <is>
          <t>Register &amp; Nuance</t>
        </is>
      </c>
      <c r="J49" s="12" t="inlineStr">
        <is>
          <t>inferida</t>
        </is>
      </c>
    </row>
    <row r="50">
      <c r="A50" s="12" t="inlineStr">
        <is>
          <t>E5-U1</t>
        </is>
      </c>
      <c r="B50" s="12" t="inlineStr">
        <is>
          <t>B2</t>
        </is>
      </c>
      <c r="C50" s="12" t="n">
        <v>5</v>
      </c>
      <c r="D50" s="12" t="n">
        <v>1</v>
      </c>
      <c r="E50" s="12" t="inlineStr">
        <is>
          <t>Step Forward</t>
        </is>
      </c>
      <c r="F50" s="12" t="inlineStr">
        <is>
          <t>Present habits</t>
        </is>
      </c>
      <c r="G50" s="12" t="inlineStr">
        <is>
          <t>past habits</t>
        </is>
      </c>
      <c r="H50" s="12" t="inlineStr">
        <is>
          <t>Describe</t>
        </is>
      </c>
      <c r="I50" s="12" t="inlineStr">
        <is>
          <t>Narrate</t>
        </is>
      </c>
      <c r="J50" s="12" t="inlineStr">
        <is>
          <t>inferida</t>
        </is>
      </c>
    </row>
    <row r="51">
      <c r="A51" s="12" t="inlineStr">
        <is>
          <t>E5-U2</t>
        </is>
      </c>
      <c r="B51" s="12" t="inlineStr">
        <is>
          <t>B2</t>
        </is>
      </c>
      <c r="C51" s="12" t="n">
        <v>5</v>
      </c>
      <c r="D51" s="12" t="n">
        <v>2</v>
      </c>
      <c r="E51" s="12" t="inlineStr">
        <is>
          <t>Natural Limits</t>
        </is>
      </c>
      <c r="F51" s="12" t="inlineStr">
        <is>
          <t>Comparative e superlative structures</t>
        </is>
      </c>
      <c r="G51" s="12" t="inlineStr">
        <is>
          <t>ungradable adjectives</t>
        </is>
      </c>
      <c r="H51" s="12" t="inlineStr">
        <is>
          <t>Describe</t>
        </is>
      </c>
      <c r="I51" s="12" t="inlineStr">
        <is>
          <t>Quantify</t>
        </is>
      </c>
      <c r="J51" s="12" t="inlineStr">
        <is>
          <t>inferida</t>
        </is>
      </c>
    </row>
    <row r="52">
      <c r="A52" s="12" t="inlineStr">
        <is>
          <t>E5-U3</t>
        </is>
      </c>
      <c r="B52" s="12" t="inlineStr">
        <is>
          <t>B2</t>
        </is>
      </c>
      <c r="C52" s="12" t="n">
        <v>5</v>
      </c>
      <c r="D52" s="12" t="n">
        <v>3</v>
      </c>
      <c r="E52" s="12" t="inlineStr">
        <is>
          <t>The Way I Am</t>
        </is>
      </c>
      <c r="F52" s="12" t="inlineStr">
        <is>
          <t>Relative pronouns</t>
        </is>
      </c>
      <c r="G52" s="12" t="inlineStr">
        <is>
          <t>reduced relative clauses; present participles</t>
        </is>
      </c>
      <c r="H52" s="12" t="inlineStr">
        <is>
          <t>Describe</t>
        </is>
      </c>
      <c r="I52" s="12" t="inlineStr">
        <is>
          <t>React</t>
        </is>
      </c>
      <c r="J52" s="12" t="inlineStr">
        <is>
          <t>inferida</t>
        </is>
      </c>
    </row>
    <row r="53">
      <c r="A53" s="12" t="inlineStr">
        <is>
          <t>E5-U4</t>
        </is>
      </c>
      <c r="B53" s="12" t="inlineStr">
        <is>
          <t>B2</t>
        </is>
      </c>
      <c r="C53" s="12" t="n">
        <v>5</v>
      </c>
      <c r="D53" s="12" t="n">
        <v>4</v>
      </c>
      <c r="E53" s="12" t="inlineStr">
        <is>
          <t>Combined Effort</t>
        </is>
      </c>
      <c r="F53" s="12" t="inlineStr">
        <is>
          <t>so…that, such…that, even, only</t>
        </is>
      </c>
      <c r="G53" s="12" t="inlineStr">
        <is>
          <t>reflexive pronouns; "other"</t>
        </is>
      </c>
      <c r="H53" s="12" t="inlineStr">
        <is>
          <t>Register &amp; Nuance</t>
        </is>
      </c>
      <c r="I53" s="12" t="inlineStr">
        <is>
          <t>Argue</t>
        </is>
      </c>
      <c r="J53" s="12" t="inlineStr">
        <is>
          <t>inferida</t>
        </is>
      </c>
    </row>
    <row r="54">
      <c r="A54" s="12" t="inlineStr">
        <is>
          <t>E5-U5</t>
        </is>
      </c>
      <c r="B54" s="12" t="inlineStr">
        <is>
          <t>B2</t>
        </is>
      </c>
      <c r="C54" s="12" t="n">
        <v>5</v>
      </c>
      <c r="D54" s="12" t="n">
        <v>5</v>
      </c>
      <c r="E54" s="12" t="inlineStr">
        <is>
          <t>The Human Factor</t>
        </is>
      </c>
      <c r="F54" s="12" t="inlineStr">
        <is>
          <t>Real conditionals</t>
        </is>
      </c>
      <c r="G54" s="12" t="inlineStr">
        <is>
          <t>alternativas a "if"</t>
        </is>
      </c>
      <c r="H54" s="12" t="inlineStr">
        <is>
          <t>React</t>
        </is>
      </c>
      <c r="I54" s="12" t="inlineStr">
        <is>
          <t>Speculate</t>
        </is>
      </c>
      <c r="J54" s="12" t="inlineStr">
        <is>
          <t>inferida</t>
        </is>
      </c>
    </row>
    <row r="55">
      <c r="A55" s="12" t="inlineStr">
        <is>
          <t>E5-U6</t>
        </is>
      </c>
      <c r="B55" s="12" t="inlineStr">
        <is>
          <t>B2</t>
        </is>
      </c>
      <c r="C55" s="12" t="n">
        <v>5</v>
      </c>
      <c r="D55" s="12" t="n">
        <v>6</v>
      </c>
      <c r="E55" s="12" t="inlineStr">
        <is>
          <t>Expect the Unexpected</t>
        </is>
      </c>
      <c r="F55" s="12" t="inlineStr">
        <is>
          <t>Narrative tenses</t>
        </is>
      </c>
      <c r="G55" s="12" t="inlineStr">
        <is>
          <t>reported speech com modal verbs</t>
        </is>
      </c>
      <c r="H55" s="12" t="inlineStr">
        <is>
          <t>Narrate</t>
        </is>
      </c>
      <c r="I55" s="12" t="inlineStr">
        <is>
          <t>Report</t>
        </is>
      </c>
      <c r="J55" s="12" t="inlineStr">
        <is>
          <t>inferida</t>
        </is>
      </c>
    </row>
    <row r="56">
      <c r="A56" s="12" t="inlineStr">
        <is>
          <t>E5-U7</t>
        </is>
      </c>
      <c r="B56" s="12" t="inlineStr">
        <is>
          <t>B2</t>
        </is>
      </c>
      <c r="C56" s="12" t="n">
        <v>5</v>
      </c>
      <c r="D56" s="12" t="n">
        <v>7</v>
      </c>
      <c r="E56" s="12" t="inlineStr">
        <is>
          <t>Priorities</t>
        </is>
      </c>
      <c r="F56" s="12" t="inlineStr">
        <is>
          <t>Gerunds e infinitives após adjectives, nouns e pronouns</t>
        </is>
      </c>
      <c r="G56" s="12" t="inlineStr">
        <is>
          <t>⚠ conferir no livro — o catálogo traz um tópico só</t>
        </is>
      </c>
      <c r="H56" s="12" t="inlineStr">
        <is>
          <t>Argue</t>
        </is>
      </c>
      <c r="I56" s="12" t="inlineStr">
        <is>
          <t>Plan</t>
        </is>
      </c>
      <c r="J56" s="12" t="inlineStr">
        <is>
          <t>⚠ CONFERIR</t>
        </is>
      </c>
    </row>
    <row r="57">
      <c r="A57" s="12" t="inlineStr">
        <is>
          <t>E5-U8</t>
        </is>
      </c>
      <c r="B57" s="12" t="inlineStr">
        <is>
          <t>B2</t>
        </is>
      </c>
      <c r="C57" s="12" t="n">
        <v>5</v>
      </c>
      <c r="D57" s="12" t="n">
        <v>8</v>
      </c>
      <c r="E57" s="12" t="inlineStr">
        <is>
          <t>Small Things Matter</t>
        </is>
      </c>
      <c r="F57" s="12" t="inlineStr">
        <is>
          <t>Modal-like expressions com "by"</t>
        </is>
      </c>
      <c r="G57" s="12" t="inlineStr">
        <is>
          <t>future forms</t>
        </is>
      </c>
      <c r="H57" s="12" t="inlineStr">
        <is>
          <t>Plan</t>
        </is>
      </c>
      <c r="I57" s="12" t="inlineStr">
        <is>
          <t>Ability &amp; Progress</t>
        </is>
      </c>
      <c r="J57" s="12" t="inlineStr">
        <is>
          <t>inferida</t>
        </is>
      </c>
    </row>
    <row r="58">
      <c r="A58" s="12" t="inlineStr">
        <is>
          <t>E5-U9</t>
        </is>
      </c>
      <c r="B58" s="12" t="inlineStr">
        <is>
          <t>B2</t>
        </is>
      </c>
      <c r="C58" s="12" t="n">
        <v>5</v>
      </c>
      <c r="D58" s="12" t="n">
        <v>9</v>
      </c>
      <c r="E58" s="12" t="inlineStr">
        <is>
          <t>Things Happen</t>
        </is>
      </c>
      <c r="F58" s="12" t="inlineStr">
        <is>
          <t>Unreal conditionals</t>
        </is>
      </c>
      <c r="G58" s="12" t="inlineStr">
        <is>
          <t>wishes and regrets</t>
        </is>
      </c>
      <c r="H58" s="12" t="inlineStr">
        <is>
          <t>Suppose</t>
        </is>
      </c>
      <c r="I58" s="12" t="inlineStr">
        <is>
          <t>React</t>
        </is>
      </c>
      <c r="J58" s="12" t="inlineStr">
        <is>
          <t>inferida</t>
        </is>
      </c>
    </row>
    <row r="59">
      <c r="A59" s="12" t="inlineStr">
        <is>
          <t>E5-U10</t>
        </is>
      </c>
      <c r="B59" s="12" t="inlineStr">
        <is>
          <t>B2</t>
        </is>
      </c>
      <c r="C59" s="12" t="n">
        <v>5</v>
      </c>
      <c r="D59" s="12" t="n">
        <v>10</v>
      </c>
      <c r="E59" s="12" t="inlineStr">
        <is>
          <t>People, Profiles</t>
        </is>
      </c>
      <c r="F59" s="12" t="inlineStr">
        <is>
          <t>Gerunds após preposições</t>
        </is>
      </c>
      <c r="G59" s="12" t="inlineStr">
        <is>
          <t>causative verbs</t>
        </is>
      </c>
      <c r="H59" s="12" t="inlineStr">
        <is>
          <t>Describe</t>
        </is>
      </c>
      <c r="I59" s="12" t="inlineStr">
        <is>
          <t>Regulate</t>
        </is>
      </c>
      <c r="J59" s="12" t="inlineStr">
        <is>
          <t>inferida</t>
        </is>
      </c>
    </row>
    <row r="60">
      <c r="A60" s="12" t="inlineStr">
        <is>
          <t>E5-U11</t>
        </is>
      </c>
      <c r="B60" s="12" t="inlineStr">
        <is>
          <t>B2</t>
        </is>
      </c>
      <c r="C60" s="12" t="n">
        <v>5</v>
      </c>
      <c r="D60" s="12" t="n">
        <v>11</v>
      </c>
      <c r="E60" s="12" t="inlineStr">
        <is>
          <t>Really?</t>
        </is>
      </c>
      <c r="F60" s="12" t="inlineStr">
        <is>
          <t>Passives com modais e modal-like expressions</t>
        </is>
      </c>
      <c r="G60" s="12" t="inlineStr">
        <is>
          <t>passive infinitives</t>
        </is>
      </c>
      <c r="H60" s="12" t="inlineStr">
        <is>
          <t>Speculate</t>
        </is>
      </c>
      <c r="I60" s="12" t="inlineStr">
        <is>
          <t>Register &amp; Nuance</t>
        </is>
      </c>
      <c r="J60" s="12" t="inlineStr">
        <is>
          <t>inferida</t>
        </is>
      </c>
    </row>
    <row r="61">
      <c r="A61" s="12" t="inlineStr">
        <is>
          <t>E5-U12</t>
        </is>
      </c>
      <c r="B61" s="12" t="inlineStr">
        <is>
          <t>B2</t>
        </is>
      </c>
      <c r="C61" s="12" t="n">
        <v>5</v>
      </c>
      <c r="D61" s="12" t="n">
        <v>12</v>
      </c>
      <c r="E61" s="12" t="inlineStr">
        <is>
          <t>Get What It Takes</t>
        </is>
      </c>
      <c r="F61" s="12" t="inlineStr">
        <is>
          <t>Adverbs com adjectives e adverbs</t>
        </is>
      </c>
      <c r="G61" s="12" t="inlineStr">
        <is>
          <t>non-count nouns contabilizados</t>
        </is>
      </c>
      <c r="H61" s="12" t="inlineStr">
        <is>
          <t>Ability &amp; Progress</t>
        </is>
      </c>
      <c r="I61" s="12" t="inlineStr">
        <is>
          <t>Quantify</t>
        </is>
      </c>
      <c r="J61" s="12" t="inlineStr">
        <is>
          <t>inferida</t>
        </is>
      </c>
    </row>
    <row r="62">
      <c r="A62" s="12" t="inlineStr">
        <is>
          <t>E6-U1</t>
        </is>
      </c>
      <c r="B62" s="12" t="inlineStr">
        <is>
          <t>C1</t>
        </is>
      </c>
      <c r="C62" s="12" t="n">
        <v>6</v>
      </c>
      <c r="D62" s="12" t="n">
        <v>1</v>
      </c>
      <c r="E62" s="12" t="inlineStr">
        <is>
          <t>Robot Revolution</t>
        </is>
      </c>
      <c r="F62" s="12" t="inlineStr">
        <is>
          <t>Commenting adverbs</t>
        </is>
      </c>
      <c r="G62" s="12" t="inlineStr">
        <is>
          <t>future perfect e future continuous</t>
        </is>
      </c>
      <c r="H62" s="12" t="inlineStr">
        <is>
          <t>Plan</t>
        </is>
      </c>
      <c r="I62" s="12" t="inlineStr">
        <is>
          <t>Register &amp; Nuance</t>
        </is>
      </c>
      <c r="J62" s="12" t="inlineStr">
        <is>
          <t>inferida</t>
        </is>
      </c>
    </row>
    <row r="63">
      <c r="A63" s="12" t="inlineStr">
        <is>
          <t>E6-U2</t>
        </is>
      </c>
      <c r="B63" s="12" t="inlineStr">
        <is>
          <t>C1</t>
        </is>
      </c>
      <c r="C63" s="12" t="n">
        <v>6</v>
      </c>
      <c r="D63" s="12" t="n">
        <v>2</v>
      </c>
      <c r="E63" s="12" t="inlineStr">
        <is>
          <t>The Labels We Live By</t>
        </is>
      </c>
      <c r="F63" s="12" t="inlineStr">
        <is>
          <t>Uses of "all"</t>
        </is>
      </c>
      <c r="G63" s="12" t="inlineStr">
        <is>
          <t>uses of "would"</t>
        </is>
      </c>
      <c r="H63" s="12" t="inlineStr">
        <is>
          <t>Describe</t>
        </is>
      </c>
      <c r="I63" s="12" t="inlineStr">
        <is>
          <t>Narrate</t>
        </is>
      </c>
      <c r="J63" s="12" t="inlineStr">
        <is>
          <t>inferida</t>
        </is>
      </c>
    </row>
    <row r="64">
      <c r="A64" s="12" t="inlineStr">
        <is>
          <t>E6-U3</t>
        </is>
      </c>
      <c r="B64" s="12" t="inlineStr">
        <is>
          <t>C1</t>
        </is>
      </c>
      <c r="C64" s="12" t="n">
        <v>6</v>
      </c>
      <c r="D64" s="12" t="n">
        <v>3</v>
      </c>
      <c r="E64" s="12" t="inlineStr">
        <is>
          <t>In Hindsight</t>
        </is>
      </c>
      <c r="F64" s="12" t="inlineStr">
        <is>
          <t>Variações de past unreal conditionals</t>
        </is>
      </c>
      <c r="G64" s="12" t="inlineStr">
        <is>
          <t>commenting on the past</t>
        </is>
      </c>
      <c r="H64" s="12" t="inlineStr">
        <is>
          <t>Suppose</t>
        </is>
      </c>
      <c r="I64" s="12" t="inlineStr">
        <is>
          <t>React</t>
        </is>
      </c>
      <c r="J64" s="12" t="inlineStr">
        <is>
          <t>inferida</t>
        </is>
      </c>
    </row>
    <row r="65">
      <c r="A65" s="12" t="inlineStr">
        <is>
          <t>E6-U4</t>
        </is>
      </c>
      <c r="B65" s="12" t="inlineStr">
        <is>
          <t>C1</t>
        </is>
      </c>
      <c r="C65" s="12" t="n">
        <v>6</v>
      </c>
      <c r="D65" s="12" t="n">
        <v>4</v>
      </c>
      <c r="E65" s="12" t="inlineStr">
        <is>
          <t>Close Up</t>
        </is>
      </c>
      <c r="F65" s="12" t="inlineStr">
        <is>
          <t>Quantifiers e prepositions em relative clauses</t>
        </is>
      </c>
      <c r="G65" s="12" t="inlineStr">
        <is>
          <t>noun clauses</t>
        </is>
      </c>
      <c r="H65" s="12" t="inlineStr">
        <is>
          <t>Describe</t>
        </is>
      </c>
      <c r="I65" s="12" t="inlineStr">
        <is>
          <t>Quantify</t>
        </is>
      </c>
      <c r="J65" s="12" t="inlineStr">
        <is>
          <t>inferida</t>
        </is>
      </c>
    </row>
    <row r="66">
      <c r="A66" s="12" t="inlineStr">
        <is>
          <t>E6-U5</t>
        </is>
      </c>
      <c r="B66" s="12" t="inlineStr">
        <is>
          <t>C1</t>
        </is>
      </c>
      <c r="C66" s="12" t="n">
        <v>6</v>
      </c>
      <c r="D66" s="12" t="n">
        <v>5</v>
      </c>
      <c r="E66" s="12" t="inlineStr">
        <is>
          <t>Remote</t>
        </is>
      </c>
      <c r="F66" s="12" t="inlineStr">
        <is>
          <t>Participle phrases em posição inicial</t>
        </is>
      </c>
      <c r="G66" s="12" t="inlineStr">
        <is>
          <t>reduced relative clauses</t>
        </is>
      </c>
      <c r="H66" s="12" t="inlineStr">
        <is>
          <t>Describe</t>
        </is>
      </c>
      <c r="I66" s="12" t="inlineStr">
        <is>
          <t>Narrate</t>
        </is>
      </c>
      <c r="J66" s="12" t="inlineStr">
        <is>
          <t>inferida</t>
        </is>
      </c>
    </row>
    <row r="67">
      <c r="A67" s="12" t="inlineStr">
        <is>
          <t>E6-U6</t>
        </is>
      </c>
      <c r="B67" s="12" t="inlineStr">
        <is>
          <t>C1</t>
        </is>
      </c>
      <c r="C67" s="12" t="n">
        <v>6</v>
      </c>
      <c r="D67" s="12" t="n">
        <v>6</v>
      </c>
      <c r="E67" s="12" t="inlineStr">
        <is>
          <t>Surprise, Surprise</t>
        </is>
      </c>
      <c r="F67" s="12" t="inlineStr">
        <is>
          <t>Clefts</t>
        </is>
      </c>
      <c r="G67" s="12" t="inlineStr">
        <is>
          <t>question words com "-ever"</t>
        </is>
      </c>
      <c r="H67" s="12" t="inlineStr">
        <is>
          <t>Register &amp; Nuance</t>
        </is>
      </c>
      <c r="I67" s="12" t="inlineStr">
        <is>
          <t>React</t>
        </is>
      </c>
      <c r="J67" s="12" t="inlineStr">
        <is>
          <t>inferida</t>
        </is>
      </c>
    </row>
    <row r="68">
      <c r="A68" s="12" t="inlineStr">
        <is>
          <t>E6-U7</t>
        </is>
      </c>
      <c r="B68" s="12" t="inlineStr">
        <is>
          <t>C1</t>
        </is>
      </c>
      <c r="C68" s="12" t="n">
        <v>6</v>
      </c>
      <c r="D68" s="12" t="n">
        <v>7</v>
      </c>
      <c r="E68" s="12" t="inlineStr">
        <is>
          <t>Roots</t>
        </is>
      </c>
      <c r="F68" s="12" t="inlineStr">
        <is>
          <t>Negative e limiting adverbials</t>
        </is>
      </c>
      <c r="G68" s="12" t="inlineStr">
        <is>
          <t>fronting adverbials</t>
        </is>
      </c>
      <c r="H68" s="12" t="inlineStr">
        <is>
          <t>Register &amp; Nuance</t>
        </is>
      </c>
      <c r="I68" s="12" t="inlineStr">
        <is>
          <t>Narrate</t>
        </is>
      </c>
      <c r="J68" s="12" t="inlineStr">
        <is>
          <t>inferida</t>
        </is>
      </c>
    </row>
    <row r="69">
      <c r="A69" s="12" t="inlineStr">
        <is>
          <t>E6-U8</t>
        </is>
      </c>
      <c r="B69" s="12" t="inlineStr">
        <is>
          <t>C1</t>
        </is>
      </c>
      <c r="C69" s="12" t="n">
        <v>6</v>
      </c>
      <c r="D69" s="12" t="n">
        <v>8</v>
      </c>
      <c r="E69" s="12" t="inlineStr">
        <is>
          <t>Short</t>
        </is>
      </c>
      <c r="F69" s="12" t="inlineStr">
        <is>
          <t>Phrases com "get"</t>
        </is>
      </c>
      <c r="G69" s="12" t="inlineStr">
        <is>
          <t>phrases com "go"</t>
        </is>
      </c>
      <c r="H69" s="12" t="inlineStr">
        <is>
          <t>Register &amp; Nuance</t>
        </is>
      </c>
      <c r="I69" s="12" t="inlineStr">
        <is>
          <t>—</t>
        </is>
      </c>
      <c r="J69" s="12" t="inlineStr">
        <is>
          <t>inferida</t>
        </is>
      </c>
    </row>
    <row r="70">
      <c r="A70" s="12" t="inlineStr">
        <is>
          <t>E6-U9</t>
        </is>
      </c>
      <c r="B70" s="12" t="inlineStr">
        <is>
          <t>C1</t>
        </is>
      </c>
      <c r="C70" s="12" t="n">
        <v>6</v>
      </c>
      <c r="D70" s="12" t="n">
        <v>9</v>
      </c>
      <c r="E70" s="12" t="inlineStr">
        <is>
          <t>Healthy Modern Life</t>
        </is>
      </c>
      <c r="F70" s="12" t="inlineStr">
        <is>
          <t>Referencing</t>
        </is>
      </c>
      <c r="G70" s="12" t="inlineStr">
        <is>
          <t>continuous infinitives</t>
        </is>
      </c>
      <c r="H70" s="12" t="inlineStr">
        <is>
          <t>Register &amp; Nuance</t>
        </is>
      </c>
      <c r="I70" s="12" t="inlineStr">
        <is>
          <t>Describe</t>
        </is>
      </c>
      <c r="J70" s="12" t="inlineStr">
        <is>
          <t>inferida</t>
        </is>
      </c>
    </row>
    <row r="71">
      <c r="A71" s="12" t="inlineStr">
        <is>
          <t>E6-U10</t>
        </is>
      </c>
      <c r="B71" s="12" t="inlineStr">
        <is>
          <t>C1</t>
        </is>
      </c>
      <c r="C71" s="12" t="n">
        <v>6</v>
      </c>
      <c r="D71" s="12" t="n">
        <v>10</v>
      </c>
      <c r="E71" s="12" t="inlineStr">
        <is>
          <t>Reinvention</t>
        </is>
      </c>
      <c r="F71" s="12" t="inlineStr">
        <is>
          <t>Simple past for unreal situations</t>
        </is>
      </c>
      <c r="G71" s="12" t="inlineStr">
        <is>
          <t>if-constructions</t>
        </is>
      </c>
      <c r="H71" s="12" t="inlineStr">
        <is>
          <t>Suppose</t>
        </is>
      </c>
      <c r="I71" s="12" t="inlineStr">
        <is>
          <t>Argue</t>
        </is>
      </c>
      <c r="J71" s="12" t="inlineStr">
        <is>
          <t>inferida</t>
        </is>
      </c>
    </row>
    <row r="72">
      <c r="A72" s="12" t="inlineStr">
        <is>
          <t>E6-U11</t>
        </is>
      </c>
      <c r="B72" s="12" t="inlineStr">
        <is>
          <t>C1</t>
        </is>
      </c>
      <c r="C72" s="12" t="n">
        <v>6</v>
      </c>
      <c r="D72" s="12" t="n">
        <v>11</v>
      </c>
      <c r="E72" s="12" t="inlineStr">
        <is>
          <t>True Colors</t>
        </is>
      </c>
      <c r="F72" s="12" t="inlineStr">
        <is>
          <t>Subject-verb agreement</t>
        </is>
      </c>
      <c r="G72" s="12" t="inlineStr">
        <is>
          <t>articles</t>
        </is>
      </c>
      <c r="H72" s="12" t="inlineStr">
        <is>
          <t>Describe</t>
        </is>
      </c>
      <c r="I72" s="12" t="inlineStr">
        <is>
          <t>Register &amp; Nuance</t>
        </is>
      </c>
      <c r="J72" s="12" t="inlineStr">
        <is>
          <t>inferida</t>
        </is>
      </c>
    </row>
    <row r="73">
      <c r="A73" s="12" t="inlineStr">
        <is>
          <t>E6-U12</t>
        </is>
      </c>
      <c r="B73" s="12" t="inlineStr">
        <is>
          <t>C1</t>
        </is>
      </c>
      <c r="C73" s="12" t="n">
        <v>6</v>
      </c>
      <c r="D73" s="12" t="n">
        <v>12</v>
      </c>
      <c r="E73" s="12" t="inlineStr">
        <is>
          <t>Things Change</t>
        </is>
      </c>
      <c r="F73" s="12" t="inlineStr">
        <is>
          <t>Present subjunctive</t>
        </is>
      </c>
      <c r="G73" s="12" t="inlineStr">
        <is>
          <t>perfect infinitive</t>
        </is>
      </c>
      <c r="H73" s="12" t="inlineStr">
        <is>
          <t>Regulate</t>
        </is>
      </c>
      <c r="I73" s="12" t="inlineStr">
        <is>
          <t>Plan</t>
        </is>
      </c>
      <c r="J73" s="12" t="inlineStr">
        <is>
          <t>inferida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2026-09-16T11:21:50Z</dcterms:created>
  <dcterms:modified xmlns:dcterms="http://purl.org/dc/terms/" xmlns:xsi="http://www.w3.org/2001/XMLSchema-instance" xsi:type="dcterms:W3CDTF">2026-09-16T11:21:50Z</dcterms:modified>
</cp:coreProperties>
</file>