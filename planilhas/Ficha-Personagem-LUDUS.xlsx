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FICHA" sheetId="2" state="visible" r:id="rId2"/>
    <sheet xmlns:r="http://schemas.openxmlformats.org/officeDocument/2006/relationships" name="REFERENCE"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4130F"/>
      <sz val="16"/>
    </font>
    <font>
      <name val="Calibri"/>
      <color rgb="006E6A61"/>
      <sz val="9"/>
    </font>
    <font>
      <name val="Calibri"/>
      <b val="1"/>
      <color rgb="0014130F"/>
      <sz val="10"/>
    </font>
    <font>
      <name val="Calibri"/>
      <color rgb="0014130F"/>
      <sz val="10"/>
    </font>
    <font>
      <name val="Calibri"/>
      <b val="1"/>
      <color rgb="00FFFFFF"/>
      <sz val="9"/>
    </font>
    <font>
      <name val="Calibri"/>
      <color rgb="006E6A61"/>
      <sz val="10"/>
    </font>
  </fonts>
  <fills count="6">
    <fill>
      <patternFill/>
    </fill>
    <fill>
      <patternFill patternType="gray125"/>
    </fill>
    <fill>
      <patternFill patternType="solid">
        <fgColor rgb="00F4F3F0"/>
      </patternFill>
    </fill>
    <fill>
      <patternFill patternType="solid">
        <fgColor rgb="00FFF4D6"/>
      </patternFill>
    </fill>
    <fill>
      <patternFill patternType="solid">
        <fgColor rgb="00EAF2FD"/>
      </patternFill>
    </fill>
    <fill>
      <patternFill patternType="solid">
        <fgColor rgb="0014130F"/>
      </patternFill>
    </fill>
  </fills>
  <borders count="2">
    <border>
      <left/>
      <right/>
      <top/>
      <bottom/>
      <diagonal/>
    </border>
    <border>
      <left style="thin">
        <color rgb="00D8D6D0"/>
      </left>
      <right style="thin">
        <color rgb="00D8D6D0"/>
      </right>
      <top style="thin">
        <color rgb="00D8D6D0"/>
      </top>
      <bottom style="thin">
        <color rgb="00D8D6D0"/>
      </bottom>
    </border>
  </borders>
  <cellStyleXfs count="1">
    <xf numFmtId="0" fontId="0" fillId="0" borderId="0"/>
  </cellStyleXfs>
  <cellXfs count="15">
    <xf numFmtId="0" fontId="0" fillId="0" borderId="0" pivotButton="0" quotePrefix="0" xfId="0"/>
    <xf numFmtId="0" fontId="1" fillId="0" borderId="0" pivotButton="0" quotePrefix="0" xfId="0"/>
    <xf numFmtId="0" fontId="6" fillId="0" borderId="0" pivotButton="0" quotePrefix="0" xfId="0"/>
    <xf numFmtId="0" fontId="4" fillId="0" borderId="0" applyAlignment="1" pivotButton="0" quotePrefix="0" xfId="0">
      <alignment vertical="top" wrapText="1"/>
    </xf>
    <xf numFmtId="0" fontId="3"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4" fillId="3" borderId="1" applyAlignment="1" pivotButton="0" quotePrefix="0" xfId="0">
      <alignment vertical="top" wrapText="1"/>
    </xf>
    <xf numFmtId="0" fontId="2" fillId="0" borderId="0"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horizontal="center" vertical="center" wrapText="1"/>
    </xf>
    <xf numFmtId="0" fontId="4" fillId="0" borderId="1" pivotButton="0" quotePrefix="0" xfId="0"/>
    <xf numFmtId="0" fontId="3" fillId="0" borderId="0"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6"/>
  <sheetViews>
    <sheetView workbookViewId="0">
      <selection activeCell="A1" sqref="A1"/>
    </sheetView>
  </sheetViews>
  <sheetFormatPr baseColWidth="8" defaultRowHeight="15"/>
  <cols>
    <col width="120" customWidth="1" min="1" max="1"/>
  </cols>
  <sheetData>
    <row r="2">
      <c r="A2" s="1" t="inlineStr">
        <is>
          <t>Ficha de personagem · Ludus</t>
        </is>
      </c>
    </row>
    <row r="3">
      <c r="A3" s="2" t="inlineStr">
        <is>
          <t>Uma por aluno. O aluno edita o que é dele.</t>
        </is>
      </c>
    </row>
    <row r="5">
      <c r="A5" s="3" t="inlineStr">
        <is>
          <t>v2.0 · September 2026  ·  gerado de core/core.json por planilhas/src/build_ficha.py</t>
        </is>
      </c>
    </row>
    <row r="7">
      <c r="A7" s="4" t="inlineStr">
        <is>
          <t>Uma ficha por aluno. Nunca uma planilha para a mesa inteira.</t>
        </is>
      </c>
    </row>
    <row r="8">
      <c r="A8" s="3" t="inlineStr">
        <is>
          <t>Abas de aluno dentro de um arquivo só não são segurança: quem edita desesconde, quem lê extrai pelo código-fonte. Um arquivo por aluno resolve isso sem truque nenhum.</t>
        </is>
      </c>
    </row>
    <row r="10">
      <c r="A10" s="4" t="inlineStr">
        <is>
          <t>Montagem, por aluno</t>
        </is>
      </c>
    </row>
    <row r="11">
      <c r="A11" s="3" t="inlineStr">
        <is>
          <t>1. Suba este arquivo no Drive e abra.</t>
        </is>
      </c>
    </row>
    <row r="12">
      <c r="A12" s="3" t="inlineStr">
        <is>
          <t>2. Arquivo → Salvar como Planilhas Google.</t>
        </is>
      </c>
    </row>
    <row r="13">
      <c r="A13" s="3" t="inlineStr">
        <is>
          <t>3. Guarde como MODELO na pasta Biblioteca. Para cada aluno, faça uma cópia e renomeie com o nome dele.</t>
        </is>
      </c>
    </row>
    <row r="14">
      <c r="A14" s="3" t="inlineStr">
        <is>
          <t>4. Em cada cópia: escreva o nome do aluno na célula B5 da aba FICHA, exatamente como está no Painel, e cole o link do Quadro da Turma na célula amarela do motor, lá embaixo.</t>
        </is>
      </c>
    </row>
    <row r="15">
      <c r="A15" s="3" t="inlineStr">
        <is>
          <t>5. Poste no Classroom como MATERIAL dirigido àquele aluno, com permissão de edição.</t>
        </is>
      </c>
    </row>
    <row r="17">
      <c r="A17" s="4" t="inlineStr">
        <is>
          <t>Amarelo e azul</t>
        </is>
      </c>
    </row>
    <row r="18">
      <c r="A18" s="3" t="inlineStr">
        <is>
          <t>Amarelo o aluno preenche à mão: personagem, Focuses, Signature Moves, Pack, Boons, dinheiro, anotações — e os RECURSOS.</t>
        </is>
      </c>
    </row>
    <row r="19">
      <c r="A19" s="3" t="inlineStr">
        <is>
          <t>Language Points e Spotlight Tokens são do aluno. O GM anuncia o total no debrief; o aluno anota e risca conforme gasta. Gerenciar o próprio recurso em voz alta, em inglês, faz parte do exercício — não é papel de planilha.</t>
        </is>
      </c>
    </row>
    <row r="20">
      <c r="A20" s="3" t="inlineStr">
        <is>
          <t>Azul vem do Quadro da Turma e não se edita: Growth, onde ele está na trilha, a lição do ciclo, o Language Focus de hoje, se apresenta, as ações, os Language Points e o lembrete da próxima aula.</t>
        </is>
      </c>
    </row>
    <row r="22">
      <c r="A22" s="4" t="inlineStr">
        <is>
          <t>Por que só a linha dele aparece</t>
        </is>
      </c>
    </row>
    <row r="23">
      <c r="A23" s="3" t="inlineStr">
        <is>
          <t>O motor no rodapé importa o quadro inteiro — é ele que mostra o botão Permitir acesso, e por isso fica visível. O bloco azul lá em cima usa VLOOKUP pelo nome em B5 e mostra só a linha do próprio aluno. Ver a linha dos colegas não seria problema de segurança; é só ruído que não ajuda ninguém.</t>
        </is>
      </c>
    </row>
    <row r="25">
      <c r="A25" s="4" t="inlineStr">
        <is>
          <t>A ficha segue o livro</t>
        </is>
      </c>
    </row>
    <row r="26">
      <c r="A26" s="3" t="inlineStr">
        <is>
          <t>As sete seções são as dez linhas do capítulo 3 do Player's Guide, na mesma ordem e com os mesmos nomes. Se o livro mudar, este arquivo é regerado de core/core.json — não se edita à mão.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6" customWidth="1" min="1" max="1"/>
    <col width="46" customWidth="1" min="2" max="2"/>
    <col width="52" customWidth="1" min="3" max="3"/>
  </cols>
  <sheetData>
    <row r="1">
      <c r="A1" s="1" t="inlineStr">
        <is>
          <t>FICHA DE PERSONAGEM · Ludus</t>
        </is>
      </c>
    </row>
    <row r="2">
      <c r="A2" s="5" t="inlineStr">
        <is>
          <t>Amarelo é seu: preencha à mão. Azul vem do Quadro da Turma — não edite.</t>
        </is>
      </c>
    </row>
    <row r="4">
      <c r="A4" s="6" t="inlineStr">
        <is>
          <t>1 — QUEM VOCÊ É</t>
        </is>
      </c>
    </row>
    <row r="5">
      <c r="A5" s="7" t="inlineStr">
        <is>
          <t>Seu nome na turma</t>
        </is>
      </c>
      <c r="B5" s="8" t="inlineStr">
        <is>
          <t>Aluno 1</t>
        </is>
      </c>
      <c r="C5" s="9" t="inlineStr">
        <is>
          <t>Escreva EXATAMENTE como está no painel. É por este nome que a ficha acha a sua linha.</t>
        </is>
      </c>
    </row>
    <row r="6">
      <c r="A6" s="7" t="inlineStr">
        <is>
          <t>Nome do personagem</t>
        </is>
      </c>
      <c r="B6" s="8" t="inlineStr"/>
    </row>
    <row r="7">
      <c r="A7" s="7" t="inlineStr">
        <is>
          <t>Setting (a Porta)</t>
        </is>
      </c>
      <c r="B7" s="8" t="inlineStr">
        <is>
          <t>The Tallow Coast</t>
        </is>
      </c>
    </row>
    <row r="8">
      <c r="A8" s="7" t="inlineStr">
        <is>
          <t>People</t>
        </is>
      </c>
      <c r="B8" s="8" t="inlineStr"/>
    </row>
    <row r="9">
      <c r="A9" s="7" t="inlineStr">
        <is>
          <t>Lineage ou Gift</t>
        </is>
      </c>
      <c r="B9" s="8" t="inlineStr"/>
    </row>
    <row r="10">
      <c r="A10" s="7" t="inlineStr">
        <is>
          <t>Archetype</t>
        </is>
      </c>
      <c r="B10" s="8" t="inlineStr">
        <is>
          <t>Diplomat</t>
        </is>
      </c>
      <c r="C10" s="9" t="inlineStr">
        <is>
          <t>Vanguard · Diplomat · Strategist · Scout</t>
        </is>
      </c>
    </row>
    <row r="12">
      <c r="A12" s="6" t="inlineStr">
        <is>
          <t>2 — ESTA SESSÃO   ·   vem do Quadro da Turma, não edite</t>
        </is>
      </c>
    </row>
    <row r="13">
      <c r="A13" s="7" t="inlineStr">
        <is>
          <t>Growth Level</t>
        </is>
      </c>
      <c r="B13" s="10">
        <f>IFERROR(VLOOKUP($B$5,$A$70:$I$74,2,FALSE),"—")</f>
        <v/>
      </c>
    </row>
    <row r="14">
      <c r="A14" s="7" t="inlineStr">
        <is>
          <t>Onde você está</t>
        </is>
      </c>
      <c r="B14" s="10">
        <f>IFERROR(VLOOKUP($B$5,$A$70:$I$74,3,FALSE),"—")</f>
        <v/>
      </c>
      <c r="C14" s="9" t="inlineStr">
        <is>
          <t>Seu nível e unidade do Evolve.</t>
        </is>
      </c>
    </row>
    <row r="15">
      <c r="A15" s="7" t="inlineStr">
        <is>
          <t>Lição do ciclo</t>
        </is>
      </c>
      <c r="B15" s="10">
        <f>IFERROR(VLOOKUP($B$5,$A$70:$I$74,4,FALSE),"—")</f>
        <v/>
      </c>
      <c r="C15" s="9" t="inlineStr">
        <is>
          <t>A · B · C · D · X</t>
        </is>
      </c>
    </row>
    <row r="16">
      <c r="A16" s="7" t="inlineStr">
        <is>
          <t>Language Focus de hoje</t>
        </is>
      </c>
      <c r="B16" s="10">
        <f>IFERROR(VLOOKUP($B$5,$A$70:$I$74,5,FALSE),"—")</f>
        <v/>
      </c>
    </row>
    <row r="17">
      <c r="A17" s="7" t="inlineStr">
        <is>
          <t>Você apresenta hoje?</t>
        </is>
      </c>
      <c r="B17" s="10">
        <f>IFERROR(VLOOKUP($B$5,$A$70:$I$74,6,FALSE),"—")</f>
        <v/>
      </c>
    </row>
    <row r="18">
      <c r="A18" s="7" t="inlineStr">
        <is>
          <t>Suas ações</t>
        </is>
      </c>
      <c r="B18" s="10">
        <f>IFERROR(VLOOKUP($B$5,$A$70:$I$74,7,FALSE),"—")</f>
        <v/>
      </c>
    </row>
    <row r="19">
      <c r="A19" s="7" t="inlineStr">
        <is>
          <t>Lembrete — próxima aula</t>
        </is>
      </c>
      <c r="B19" s="10">
        <f>IFERROR(VLOOKUP($B$5,$A$70:$I$74,9,FALSE),"—")</f>
        <v/>
      </c>
    </row>
    <row r="21">
      <c r="A21" s="6" t="inlineStr">
        <is>
          <t>3 — SEUS RECURSOS   ·   você gerencia, você desconta</t>
        </is>
      </c>
    </row>
    <row r="22">
      <c r="A22" s="7" t="inlineStr">
        <is>
          <t>Language Points</t>
        </is>
      </c>
      <c r="B22" s="8" t="n">
        <v>0</v>
      </c>
      <c r="C22" s="9" t="inlineStr">
        <is>
          <t>No fim de cada sessão o GM anuncia quantos você terá na próxima. Anote aqui e risque um a cada vez que gastar. Zera no fim da sessão.</t>
        </is>
      </c>
    </row>
    <row r="23">
      <c r="A23" s="7" t="inlineStr">
        <is>
          <t>Spotlight Tokens</t>
        </is>
      </c>
      <c r="B23" s="8" t="n">
        <v>3</v>
      </c>
      <c r="C23" s="9" t="inlineStr">
        <is>
          <t>3 no começo de toda sessão, 1 por cena. Dá para passar um a outro aluno, dizendo em inglês por quê. Volta a 3 na sessão seguinte.</t>
        </is>
      </c>
    </row>
    <row r="25">
      <c r="A25" s="6" t="inlineStr">
        <is>
          <t>4 — SEUS FOCUSES   ·   +2, +1, +0 e −1, um em cada</t>
        </is>
      </c>
    </row>
    <row r="26" ht="28" customHeight="1">
      <c r="A26" s="11" t="inlineStr">
        <is>
          <t>FOCUS</t>
        </is>
      </c>
      <c r="B26" s="11" t="inlineStr">
        <is>
          <t>SEU VALOR</t>
        </is>
      </c>
      <c r="C26" s="11" t="inlineStr">
        <is>
          <t>QUANDO ELE APARECE</t>
        </is>
      </c>
    </row>
    <row r="27">
      <c r="A27" s="7" t="inlineStr">
        <is>
          <t>Courage</t>
        </is>
      </c>
      <c r="B27" s="8" t="inlineStr"/>
      <c r="C27" s="9" t="inlineStr">
        <is>
          <t>You step toward danger instead of away from it.</t>
        </is>
      </c>
    </row>
    <row r="28">
      <c r="A28" s="7" t="inlineStr">
        <is>
          <t>Empathy</t>
        </is>
      </c>
      <c r="B28" s="8" t="inlineStr"/>
      <c r="C28" s="9" t="inlineStr">
        <is>
          <t>You deal with another person directly.</t>
        </is>
      </c>
    </row>
    <row r="29">
      <c r="A29" s="7" t="inlineStr">
        <is>
          <t>Wit</t>
        </is>
      </c>
      <c r="B29" s="8" t="inlineStr"/>
      <c r="C29" s="9" t="inlineStr">
        <is>
          <t>You outthink the situation.</t>
        </is>
      </c>
    </row>
    <row r="30">
      <c r="A30" s="7" t="inlineStr">
        <is>
          <t>Instinct</t>
        </is>
      </c>
      <c r="B30" s="8" t="inlineStr"/>
      <c r="C30" s="9" t="inlineStr">
        <is>
          <t>You have to trust your gut, right now.</t>
        </is>
      </c>
    </row>
    <row r="32">
      <c r="A32" s="6" t="inlineStr">
        <is>
          <t>5 — SIGNATURE MOVES   ·   até 3 ao longo da carreira</t>
        </is>
      </c>
    </row>
    <row r="33">
      <c r="A33" s="7" t="inlineStr">
        <is>
          <t>Signature Move</t>
        </is>
      </c>
      <c r="B33" s="8" t="inlineStr"/>
      <c r="C33" s="9" t="inlineStr">
        <is>
          <t>One, and it comes with your Archetype. It upgrades in tiers at Growth Levels 3, 7 and 12.</t>
        </is>
      </c>
    </row>
    <row r="34">
      <c r="A34" s="7" t="inlineStr">
        <is>
          <t>Cross-Training 1  (Growth 5)</t>
        </is>
      </c>
      <c r="B34" s="8" t="inlineStr"/>
      <c r="C34" s="9" t="inlineStr">
        <is>
          <t>Tier 1 de OUTRO Archetype. Fica no Tier 1 para sempre.</t>
        </is>
      </c>
    </row>
    <row r="35">
      <c r="A35" s="7" t="inlineStr">
        <is>
          <t>Cross-Training 2  (Growth 11)</t>
        </is>
      </c>
      <c r="B35" s="8" t="inlineStr"/>
      <c r="C35" s="9" t="inlineStr">
        <is>
          <t>O segundo, de um Archetype diferente do primeiro. Também fica no Tier 1.</t>
        </is>
      </c>
    </row>
    <row r="37">
      <c r="A37" s="6" t="inlineStr">
        <is>
          <t>6 — O QUE VOCÊ CARREGA</t>
        </is>
      </c>
    </row>
    <row r="38">
      <c r="A38" s="7" t="inlineStr">
        <is>
          <t>Kit</t>
        </is>
      </c>
      <c r="B38" s="10">
        <f>IFERROR(VLOOKUP($B$10,REFERENCE!$A$3:$B$6,2,FALSE),"—")</f>
        <v/>
      </c>
      <c r="C38" s="9" t="inlineStr">
        <is>
          <t>Vem do Archetype e da Porta. Nunca é contado e nunca ocupa slot.</t>
        </is>
      </c>
    </row>
    <row r="39">
      <c r="A39" s="7" t="inlineStr">
        <is>
          <t>Pack — slot 1</t>
        </is>
      </c>
      <c r="B39" s="8" t="inlineStr"/>
      <c r="C39" s="9" t="inlineStr">
        <is>
          <t>When your Pack is full and you want something new, say out loud — in English — what you are leaving behind and where you are leaving it. Then take the new thing.</t>
        </is>
      </c>
    </row>
    <row r="40">
      <c r="A40" s="7" t="inlineStr">
        <is>
          <t>Pack — slot 2</t>
        </is>
      </c>
      <c r="B40" s="8" t="inlineStr"/>
    </row>
    <row r="41">
      <c r="A41" s="7" t="inlineStr">
        <is>
          <t>Pack — slot 3</t>
        </is>
      </c>
      <c r="B41" s="8" t="inlineStr"/>
    </row>
    <row r="42">
      <c r="A42" s="7" t="inlineStr">
        <is>
          <t>Pack — slot 4</t>
        </is>
      </c>
      <c r="B42" s="8" t="inlineStr"/>
    </row>
    <row r="43">
      <c r="A43" s="7" t="inlineStr">
        <is>
          <t>Pack — slot 5</t>
        </is>
      </c>
      <c r="B43" s="8" t="inlineStr"/>
    </row>
    <row r="44">
      <c r="A44" s="7" t="inlineStr">
        <is>
          <t>Pack — slot 6</t>
        </is>
      </c>
      <c r="B44" s="8" t="inlineStr"/>
    </row>
    <row r="45">
      <c r="A45" s="7" t="inlineStr">
        <is>
          <t>Boons</t>
        </is>
      </c>
      <c r="B45" s="8" t="inlineStr"/>
      <c r="C45" s="9" t="inlineStr">
        <is>
          <t>Só em Growth Moment. Não ocupam slot. Nunca somam no dado.</t>
        </is>
      </c>
    </row>
    <row r="47">
      <c r="A47" s="6" t="inlineStr">
        <is>
          <t>7 — DINHEIRO   ·   coin → handful → bag → chest, dez de um faz um do seguinte</t>
        </is>
      </c>
    </row>
    <row r="48">
      <c r="A48" s="7" t="inlineStr">
        <is>
          <t>A coin</t>
        </is>
      </c>
      <c r="B48" s="8" t="n">
        <v>0</v>
      </c>
      <c r="C48" s="9" t="inlineStr">
        <is>
          <t>A meal, a bed for the night, a good rope.</t>
        </is>
      </c>
    </row>
    <row r="49">
      <c r="A49" s="7" t="inlineStr">
        <is>
          <t>A handful</t>
        </is>
      </c>
      <c r="B49" s="8" t="n">
        <v>3</v>
      </c>
      <c r="C49" s="9" t="inlineStr">
        <is>
          <t>Ten coins. A decent weapon, a week of lodging. Enough to matter for a week.</t>
        </is>
      </c>
    </row>
    <row r="50">
      <c r="A50" s="7" t="inlineStr">
        <is>
          <t>A bag</t>
        </is>
      </c>
      <c r="B50" s="8" t="n">
        <v>0</v>
      </c>
      <c r="C50" s="9" t="inlineStr">
        <is>
          <t>Ten handfuls. A horse, a forged document, a bribe that works.</t>
        </is>
      </c>
    </row>
    <row r="51">
      <c r="A51" s="7" t="inlineStr">
        <is>
          <t>A chest</t>
        </is>
      </c>
      <c r="B51" s="8" t="n">
        <v>0</v>
      </c>
      <c r="C51" s="9" t="inlineStr">
        <is>
          <t>Ten bags. A house, a ship, a name that opens doors. The ceiling.</t>
        </is>
      </c>
    </row>
    <row r="52">
      <c r="A52" s="9" t="inlineStr">
        <is>
          <t>Você começa com three handfuls. Pergunta de sessão zero: "Where did this money come from?"</t>
        </is>
      </c>
    </row>
    <row r="54">
      <c r="A54" s="6" t="inlineStr">
        <is>
          <t>8 — ANOTAÇÕES   ·   nomes, promessas, dívidas</t>
        </is>
      </c>
    </row>
    <row r="55">
      <c r="A55" s="7" t="inlineStr"/>
      <c r="B55" s="8" t="inlineStr"/>
    </row>
    <row r="56">
      <c r="A56" s="7" t="inlineStr"/>
      <c r="B56" s="8" t="inlineStr"/>
    </row>
    <row r="57">
      <c r="A57" s="7" t="inlineStr"/>
      <c r="B57" s="8" t="inlineStr"/>
    </row>
    <row r="58">
      <c r="A58" s="7" t="inlineStr"/>
      <c r="B58" s="8" t="inlineStr"/>
    </row>
    <row r="67">
      <c r="A67" s="4" t="inlineStr">
        <is>
          <t>COLE AQUI O LINK DO QUADRO DA TURMA →</t>
        </is>
      </c>
      <c r="B67" s="8" t="inlineStr">
        <is>
          <t>cole o link do Quadro da Turma aqui</t>
        </is>
      </c>
    </row>
    <row r="69">
      <c r="A69" s="5" t="inlineStr">
        <is>
          <t>▼ MOTOR — a ligação com o Quadro. Não edite e não apague.</t>
        </is>
      </c>
    </row>
    <row r="70">
      <c r="A70" s="12">
        <f>IMPORTRANGE($B$67,"QUADRO!A1:I5")</f>
        <v/>
      </c>
    </row>
    <row r="76">
      <c r="A76" s="13" t="inlineStr">
        <is>
          <t>PRIMEIRA VEZ QUE VOCÊ ABRIR ESTA FICHA</t>
        </is>
      </c>
    </row>
    <row r="77">
      <c r="A77" s="3" t="inlineStr">
        <is>
          <t>Desça até a célula A70. Ela vai estar com #REF! e um botão Permitir acesso. Clique no botão. Uma vez só, e nunca mais pede nada.</t>
        </is>
      </c>
    </row>
    <row r="78">
      <c r="A78" s="3" t="inlineStr">
        <is>
          <t>Pronto — o bloco azul lá em cima se preenche sozinho.</t>
        </is>
      </c>
    </row>
    <row r="79">
      <c r="A79" s="3" t="inlineStr"/>
    </row>
    <row r="80">
      <c r="A80" s="3" t="inlineStr">
        <is>
          <t>Só a SUA linha aparece lá em cima. Este bloco de baixo é o motor da ligação: não é para ler, e não é para apagar.</t>
        </is>
      </c>
    </row>
  </sheetData>
  <mergeCells count="8">
    <mergeCell ref="A25:C25"/>
    <mergeCell ref="A47:C47"/>
    <mergeCell ref="A37:C37"/>
    <mergeCell ref="A32:C32"/>
    <mergeCell ref="A21:C21"/>
    <mergeCell ref="A12:C12"/>
    <mergeCell ref="A4:C4"/>
    <mergeCell ref="A54:C54"/>
  </mergeCells>
  <dataValidations count="1">
    <dataValidation sqref="B10" showDropDown="0" showInputMessage="0" showErrorMessage="0" allowBlank="1" type="list">
      <formula1>"Vanguard,Diplomat,Strategist,Scout"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2" customWidth="1" min="1" max="1"/>
    <col width="62" customWidth="1" min="2" max="2"/>
    <col width="46" customWidth="1" min="3" max="3"/>
    <col width="30" customWidth="1" min="4" max="4"/>
  </cols>
  <sheetData>
    <row r="1">
      <c r="A1" s="4" t="inlineStr">
        <is>
          <t>REFERENCE — não edite nada aqui</t>
        </is>
      </c>
    </row>
    <row r="2" ht="28" customHeight="1">
      <c r="A2" s="11" t="inlineStr">
        <is>
          <t>ARCHETYPE</t>
        </is>
      </c>
      <c r="B2" s="11" t="inlineStr">
        <is>
          <t>YOUR KIT</t>
        </is>
      </c>
    </row>
    <row r="3">
      <c r="A3" s="7" t="inlineStr">
        <is>
          <t>Vanguard</t>
        </is>
      </c>
      <c r="B3" s="14" t="inlineStr">
        <is>
          <t>A shield · a heavy coat, mended more than once · a whistle that carries further than a shout · a name written down, in case you do not come back</t>
        </is>
      </c>
    </row>
    <row r="4">
      <c r="A4" s="7" t="inlineStr">
        <is>
          <t>Diplomat</t>
        </is>
      </c>
      <c r="B4" s="14" t="inlineStr">
        <is>
          <t>A sealed letter · a silver ring · a warm cloak · a small mirror</t>
        </is>
      </c>
    </row>
    <row r="5">
      <c r="A5" s="7" t="inlineStr">
        <is>
          <t>Strategist</t>
        </is>
      </c>
      <c r="B5" s="14" t="inlineStr">
        <is>
          <t>A folding map of the coast road · chalk and a length of string · a notebook and pencil · a key you have not explained to anyone</t>
        </is>
      </c>
    </row>
    <row r="6">
      <c r="A6" s="7" t="inlineStr">
        <is>
          <t>Scout</t>
        </is>
      </c>
      <c r="B6" s="14" t="inlineStr">
        <is>
          <t>A rope · a knife · a lantern · a water bottle</t>
        </is>
      </c>
    </row>
    <row r="8" ht="28" customHeight="1">
      <c r="A8" s="11" t="inlineStr">
        <is>
          <t>BAND</t>
        </is>
      </c>
      <c r="B8" s="11" t="inlineStr">
        <is>
          <t>MEANS</t>
        </is>
      </c>
    </row>
    <row r="9">
      <c r="A9" s="7" t="inlineStr">
        <is>
          <t>10+  Strong Hit</t>
        </is>
      </c>
      <c r="B9" s="3" t="inlineStr">
        <is>
          <t>You get what you wanted. No cost.</t>
        </is>
      </c>
    </row>
    <row r="10">
      <c r="A10" s="7" t="inlineStr">
        <is>
          <t>7–9  Mixed Result</t>
        </is>
      </c>
      <c r="B10" s="3" t="inlineStr">
        <is>
          <t>You get it, but it costs you something — the Move says what.</t>
        </is>
      </c>
    </row>
    <row r="11">
      <c r="A11" s="7" t="inlineStr">
        <is>
          <t>6−  Miss</t>
        </is>
      </c>
      <c r="B11" s="3" t="inlineStr">
        <is>
          <t>It does not work. The GM makes a move against you.</t>
        </is>
      </c>
    </row>
    <row r="13" ht="28" customHeight="1">
      <c r="A13" s="11" t="inlineStr">
        <is>
          <t>MOVE</t>
        </is>
      </c>
      <c r="B13" s="11" t="inlineStr">
        <is>
          <t>FOCUS</t>
        </is>
      </c>
      <c r="C13" s="11" t="inlineStr">
        <is>
          <t>YOU USE IT…</t>
        </is>
      </c>
    </row>
    <row r="14">
      <c r="A14" s="7" t="inlineStr">
        <is>
          <t>Act Under Pressure</t>
        </is>
      </c>
      <c r="B14" s="7" t="inlineStr">
        <is>
          <t>Instinct</t>
        </is>
      </c>
      <c r="C14" s="3" t="inlineStr">
        <is>
          <t>…when you have to act fast, with no time to think it through.</t>
        </is>
      </c>
    </row>
    <row r="15">
      <c r="A15" s="7" t="inlineStr">
        <is>
          <t>Face Danger</t>
        </is>
      </c>
      <c r="B15" s="7" t="inlineStr">
        <is>
          <t>Courage</t>
        </is>
      </c>
      <c r="C15" s="3" t="inlineStr">
        <is>
          <t>…when you step into harm's way, on purpose, to get something done.</t>
        </is>
      </c>
    </row>
    <row r="16">
      <c r="A16" s="7" t="inlineStr">
        <is>
          <t>Read the Scene</t>
        </is>
      </c>
      <c r="B16" s="7" t="inlineStr">
        <is>
          <t>Instinct</t>
        </is>
      </c>
      <c r="C16" s="3" t="inlineStr">
        <is>
          <t>…when you stop and look closely at a person, place, or situation before acting.</t>
        </is>
      </c>
    </row>
    <row r="17">
      <c r="A17" s="7" t="inlineStr">
        <is>
          <t>Persuade or Manipulate</t>
        </is>
      </c>
      <c r="B17" s="7" t="inlineStr">
        <is>
          <t>Wit</t>
        </is>
      </c>
      <c r="C17" s="3" t="inlineStr">
        <is>
          <t>…when you work an angle on someone — flattery, logic, a clever half-truth.</t>
        </is>
      </c>
    </row>
    <row r="18">
      <c r="A18" s="7" t="inlineStr">
        <is>
          <t>Parley</t>
        </is>
      </c>
      <c r="B18" s="7" t="inlineStr">
        <is>
          <t>Empathy</t>
        </is>
      </c>
      <c r="C18" s="3" t="inlineStr">
        <is>
          <t>…when you make a direct request, backed by something they actually want or need from you.</t>
        </is>
      </c>
    </row>
    <row r="19">
      <c r="A19" s="7" t="inlineStr">
        <is>
          <t>Help or Interfere</t>
        </is>
      </c>
      <c r="B19" s="7" t="inlineStr">
        <is>
          <t>Empathy</t>
        </is>
      </c>
      <c r="C19" s="3" t="inlineStr">
        <is>
          <t>…when you jump in to support — or block — another player's Move, before the dice are rolled.</t>
        </is>
      </c>
    </row>
    <row r="21" ht="28" customHeight="1">
      <c r="A21" s="11" t="inlineStr">
        <is>
          <t>HOW FAR</t>
        </is>
      </c>
      <c r="B21" s="11" t="inlineStr">
        <is>
          <t>MEANS</t>
        </is>
      </c>
    </row>
    <row r="22">
      <c r="A22" s="7" t="inlineStr">
        <is>
          <t>Within reach</t>
        </is>
      </c>
      <c r="B22" s="3" t="inlineStr">
        <is>
          <t>Close enough to touch. You can hand something over, or grab it.</t>
        </is>
      </c>
    </row>
    <row r="23">
      <c r="A23" s="7" t="inlineStr">
        <is>
          <t>Nearby</t>
        </is>
      </c>
      <c r="B23" s="3" t="inlineStr">
        <is>
          <t>Same room, a few steps away. You can speak normally and be heard.</t>
        </is>
      </c>
    </row>
    <row r="24">
      <c r="A24" s="7" t="inlineStr">
        <is>
          <t>Far away</t>
        </is>
      </c>
      <c r="B24" s="3" t="inlineStr">
        <is>
          <t>Across the hall, the street, the clearing. You have to move to get there.</t>
        </is>
      </c>
    </row>
    <row r="25">
      <c r="A25" s="7" t="inlineStr">
        <is>
          <t>Out of sight</t>
        </is>
      </c>
      <c r="B25" s="3" t="inlineStr">
        <is>
          <t>Behind a door, around the corner, gone. You cannot act on it at all.</t>
        </is>
      </c>
    </row>
    <row r="27" ht="28" customHeight="1">
      <c r="A27" s="11" t="inlineStr">
        <is>
          <t>LANGUAGE POINTS</t>
        </is>
      </c>
      <c r="B27" s="11" t="inlineStr"/>
    </row>
    <row r="28">
      <c r="A28" s="7" t="inlineStr">
        <is>
          <t>1 point</t>
        </is>
      </c>
      <c r="B28" s="7" t="inlineStr">
        <is>
          <t>Homework done before the session</t>
        </is>
      </c>
    </row>
    <row r="29">
      <c r="A29" s="7" t="inlineStr">
        <is>
          <t>1 point</t>
        </is>
      </c>
      <c r="B29" s="7" t="inlineStr">
        <is>
          <t>You used your Language Focus in a scene</t>
        </is>
      </c>
    </row>
    <row r="30">
      <c r="A30" s="7" t="inlineStr">
        <is>
          <t>1 point — only in a B or D session</t>
        </is>
      </c>
      <c r="B30" s="7" t="inlineStr">
        <is>
          <t>You gave your one-minute presentation</t>
        </is>
      </c>
    </row>
    <row r="31">
      <c r="B31" s="9" t="inlineStr">
        <is>
          <t>The point is paid for the attempt, never for the result. If you reached for the structure you are working on and it came out crooked, you earned it. Getting it right is better. It is not what is being paid for.</t>
        </is>
      </c>
    </row>
    <row r="33" ht="28" customHeight="1">
      <c r="A33" s="11" t="inlineStr">
        <is>
          <t>SIGNATURE MOVES</t>
        </is>
      </c>
      <c r="B33" s="11" t="inlineStr"/>
    </row>
    <row r="34">
      <c r="A34" s="7" t="inlineStr">
        <is>
          <t>O seu</t>
        </is>
      </c>
      <c r="B34" s="3" t="inlineStr">
        <is>
          <t>One, and it comes with your Archetype. It upgrades in tiers at Growth Levels 3, 7 and 12.</t>
        </is>
      </c>
    </row>
    <row r="35">
      <c r="A35" s="7" t="inlineStr">
        <is>
          <t>Cross-Training</t>
        </is>
      </c>
      <c r="B35" s="3" t="inlineStr">
        <is>
          <t>At Growth Level 5, and again at Growth Level 11, you may take the Tier 1 Signature Move of a DIFFERENT Archetype and add it to your sheet permanently. It stays at Tier 1 forever — it never upgrades. Twice in a career, and never from the same Archetype twice.</t>
        </is>
      </c>
    </row>
    <row r="36">
      <c r="A36" s="7" t="inlineStr">
        <is>
          <t>Por quê</t>
        </is>
      </c>
      <c r="B36" s="3" t="inlineStr">
        <is>
          <t>Borrowed Moves give you range, not depth. The one that grows is the one you started with.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2026-09-16T17:24:57Z</dcterms:created>
  <dcterms:modified xmlns:dcterms="http://purl.org/dc/terms/" xmlns:xsi="http://www.w3.org/2001/XMLSchema-instance" xsi:type="dcterms:W3CDTF">2026-09-16T17:24:57Z</dcterms:modified>
</cp:coreProperties>
</file>