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A" sheetId="1" state="visible" r:id="rId1"/>
    <sheet xmlns:r="http://schemas.openxmlformats.org/officeDocument/2006/relationships" name="ETIQUETAS" sheetId="2" state="visible" r:id="rId2"/>
    <sheet xmlns:r="http://schemas.openxmlformats.org/officeDocument/2006/relationships" name="INSTALAR" sheetId="3" state="visible" r:id="rId3"/>
  </sheets>
  <definedNames>
    <definedName name="_xlnm._FilterDatabase" localSheetId="1" hidden="1">'ETIQUETAS'!$A$1:$I$73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4130F"/>
      <sz val="10"/>
    </font>
    <font>
      <name val="Calibri"/>
      <b val="1"/>
      <color rgb="0014130F"/>
      <sz val="15"/>
    </font>
    <font>
      <name val="Calibri"/>
      <color rgb="006E6A61"/>
      <sz val="10"/>
    </font>
    <font>
      <name val="Calibri"/>
      <b val="1"/>
      <color rgb="00C25A12"/>
      <sz val="11"/>
    </font>
    <font>
      <name val="Calibri"/>
      <b val="1"/>
      <color rgb="0014130F"/>
      <sz val="10"/>
    </font>
    <font>
      <name val="Calibri"/>
      <b val="1"/>
      <color rgb="00C25A12"/>
      <sz val="10"/>
    </font>
    <font>
      <name val="Calibri"/>
      <color rgb="006E6A61"/>
      <sz val="9"/>
    </font>
    <font>
      <name val="Calibri"/>
      <b val="1"/>
      <color rgb="00C25A12"/>
      <sz val="13"/>
    </font>
    <font>
      <name val="Consolas"/>
      <color rgb="0014130F"/>
      <sz val="9"/>
    </font>
  </fonts>
  <fills count="6">
    <fill>
      <patternFill/>
    </fill>
    <fill>
      <patternFill patternType="gray125"/>
    </fill>
    <fill>
      <patternFill patternType="solid">
        <fgColor rgb="0014130F"/>
      </patternFill>
    </fill>
    <fill>
      <patternFill patternType="solid">
        <fgColor rgb="00FAF9F7"/>
      </patternFill>
    </fill>
    <fill>
      <patternFill patternType="solid">
        <fgColor rgb="00FFFDF5"/>
      </patternFill>
    </fill>
    <fill>
      <patternFill patternType="solid">
        <fgColor rgb="00FBEFE4"/>
      </patternFill>
    </fill>
  </fills>
  <borders count="6">
    <border>
      <left/>
      <right/>
      <top/>
      <bottom/>
      <diagonal/>
    </border>
    <border>
      <left style="thin">
        <color rgb="00DDDCD7"/>
      </left>
      <right style="thin">
        <color rgb="00DDDCD7"/>
      </right>
      <top style="thin">
        <color rgb="00DDDCD7"/>
      </top>
      <bottom style="thin">
        <color rgb="00DDDCD7"/>
      </bottom>
    </border>
    <border>
      <left/>
      <right/>
      <top style="thin">
        <color rgb="00DDDCD7"/>
      </top>
      <bottom/>
      <diagonal/>
    </border>
    <border>
      <left/>
      <right style="thin">
        <color rgb="00DDDCD7"/>
      </right>
      <top style="thin">
        <color rgb="00DDDCD7"/>
      </top>
      <bottom/>
      <diagonal/>
    </border>
    <border>
      <left/>
      <right style="thin">
        <color rgb="00DDDCD7"/>
      </right>
      <top style="thin">
        <color rgb="00DDDCD7"/>
      </top>
      <bottom style="thin">
        <color rgb="00DDDCD7"/>
      </bottom>
      <diagonal/>
    </border>
    <border>
      <left/>
      <right/>
      <top style="thin">
        <color rgb="00DDDCD7"/>
      </top>
      <bottom style="thin">
        <color rgb="00DDDCD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9" fillId="5" borderId="1" pivotButton="0" quotePrefix="0" xfId="0"/>
    <xf numFmtId="0" fontId="0" fillId="5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26" customWidth="1" min="4" max="4"/>
    <col width="20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Preparação da sessão — o que a mesa pede hoje</t>
        </is>
      </c>
    </row>
    <row r="2">
      <c r="A2" s="2" t="inlineStr">
        <is>
          <t>Preencha só as três colunas amareladas. Todo o resto se calcula sozinho.</t>
        </is>
      </c>
    </row>
    <row r="4">
      <c r="A4" s="3" t="inlineStr">
        <is>
          <t>1 · A MESA</t>
        </is>
      </c>
    </row>
    <row r="5">
      <c r="A5" s="4" t="inlineStr">
        <is>
          <t>ALUNO</t>
        </is>
      </c>
      <c r="B5" s="4" t="inlineStr">
        <is>
          <t>EVOLVE</t>
        </is>
      </c>
      <c r="C5" s="4" t="inlineStr">
        <is>
          <t>UN.</t>
        </is>
      </c>
      <c r="D5" s="4" t="inlineStr">
        <is>
          <t>TÍTULO DA UNIDADE</t>
        </is>
      </c>
      <c r="E5" s="4" t="inlineStr">
        <is>
          <t>AÇÃO 1</t>
        </is>
      </c>
      <c r="F5" s="4" t="inlineStr">
        <is>
          <t>AÇÃO 2</t>
        </is>
      </c>
      <c r="G5" s="4" t="inlineStr">
        <is>
          <t>DOMÍNIO</t>
        </is>
      </c>
      <c r="H5" s="4" t="inlineStr">
        <is>
          <t>CONFERE?</t>
        </is>
      </c>
    </row>
    <row r="6" ht="20" customHeight="1">
      <c r="A6" s="5" t="inlineStr">
        <is>
          <t>Ana</t>
        </is>
      </c>
      <c r="B6" s="6" t="n">
        <v>3</v>
      </c>
      <c r="C6" s="6" t="n">
        <v>9</v>
      </c>
      <c r="D6" s="7">
        <f>IFERROR(INDEX(ETIQUETAS!$E$2:$E$73,MATCH($B6&amp;"|"&amp;$C6,ETIQUETAS!$A$2:$A$73,0))&amp;"","")</f>
        <v/>
      </c>
      <c r="E6" s="8">
        <f>IFERROR(INDEX(ETIQUETAS!$G$2:$G$73,MATCH($B6&amp;"|"&amp;$C6,ETIQUETAS!$A$2:$A$73,0))&amp;"","")</f>
        <v/>
      </c>
      <c r="F6" s="8">
        <f>IFERROR(INDEX(ETIQUETAS!$H$2:$H$73,MATCH($B6&amp;"|"&amp;$C6,ETIQUETAS!$A$2:$A$73,0))&amp;"","")</f>
        <v/>
      </c>
      <c r="G6" s="7">
        <f>IFERROR(INDEX(ETIQUETAS!$I$2:$I$73,MATCH($B6&amp;"|"&amp;$C6,ETIQUETAS!$A$2:$A$73,0))&amp;"","")</f>
        <v/>
      </c>
      <c r="H6" s="9">
        <f>IF($D6="","unidade não existe","ok")</f>
        <v/>
      </c>
    </row>
    <row r="7" ht="20" customHeight="1">
      <c r="A7" s="5" t="inlineStr">
        <is>
          <t>Mira</t>
        </is>
      </c>
      <c r="B7" s="6" t="n">
        <v>1</v>
      </c>
      <c r="C7" s="6" t="n">
        <v>6</v>
      </c>
      <c r="D7" s="7">
        <f>IFERROR(INDEX(ETIQUETAS!$E$2:$E$73,MATCH($B7&amp;"|"&amp;$C7,ETIQUETAS!$A$2:$A$73,0))&amp;"","")</f>
        <v/>
      </c>
      <c r="E7" s="8">
        <f>IFERROR(INDEX(ETIQUETAS!$G$2:$G$73,MATCH($B7&amp;"|"&amp;$C7,ETIQUETAS!$A$2:$A$73,0))&amp;"","")</f>
        <v/>
      </c>
      <c r="F7" s="8">
        <f>IFERROR(INDEX(ETIQUETAS!$H$2:$H$73,MATCH($B7&amp;"|"&amp;$C7,ETIQUETAS!$A$2:$A$73,0))&amp;"","")</f>
        <v/>
      </c>
      <c r="G7" s="7">
        <f>IFERROR(INDEX(ETIQUETAS!$I$2:$I$73,MATCH($B7&amp;"|"&amp;$C7,ETIQUETAS!$A$2:$A$73,0))&amp;"","")</f>
        <v/>
      </c>
      <c r="H7" s="9">
        <f>IF($D7="","unidade não existe","ok")</f>
        <v/>
      </c>
    </row>
    <row r="8" ht="20" customHeight="1">
      <c r="A8" s="5" t="inlineStr">
        <is>
          <t>Diego</t>
        </is>
      </c>
      <c r="B8" s="6" t="n">
        <v>4</v>
      </c>
      <c r="C8" s="6" t="n">
        <v>5</v>
      </c>
      <c r="D8" s="7">
        <f>IFERROR(INDEX(ETIQUETAS!$E$2:$E$73,MATCH($B8&amp;"|"&amp;$C8,ETIQUETAS!$A$2:$A$73,0))&amp;"","")</f>
        <v/>
      </c>
      <c r="E8" s="8">
        <f>IFERROR(INDEX(ETIQUETAS!$G$2:$G$73,MATCH($B8&amp;"|"&amp;$C8,ETIQUETAS!$A$2:$A$73,0))&amp;"","")</f>
        <v/>
      </c>
      <c r="F8" s="8">
        <f>IFERROR(INDEX(ETIQUETAS!$H$2:$H$73,MATCH($B8&amp;"|"&amp;$C8,ETIQUETAS!$A$2:$A$73,0))&amp;"","")</f>
        <v/>
      </c>
      <c r="G8" s="7">
        <f>IFERROR(INDEX(ETIQUETAS!$I$2:$I$73,MATCH($B8&amp;"|"&amp;$C8,ETIQUETAS!$A$2:$A$73,0))&amp;"","")</f>
        <v/>
      </c>
      <c r="H8" s="9">
        <f>IF($D8="","unidade não existe","ok")</f>
        <v/>
      </c>
    </row>
    <row r="9" ht="20" customHeight="1">
      <c r="A9" s="5" t="inlineStr">
        <is>
          <t>Lu</t>
        </is>
      </c>
      <c r="B9" s="6" t="n">
        <v>2</v>
      </c>
      <c r="C9" s="6" t="n">
        <v>10</v>
      </c>
      <c r="D9" s="7">
        <f>IFERROR(INDEX(ETIQUETAS!$E$2:$E$73,MATCH($B9&amp;"|"&amp;$C9,ETIQUETAS!$A$2:$A$73,0))&amp;"","")</f>
        <v/>
      </c>
      <c r="E9" s="8">
        <f>IFERROR(INDEX(ETIQUETAS!$G$2:$G$73,MATCH($B9&amp;"|"&amp;$C9,ETIQUETAS!$A$2:$A$73,0))&amp;"","")</f>
        <v/>
      </c>
      <c r="F9" s="8">
        <f>IFERROR(INDEX(ETIQUETAS!$H$2:$H$73,MATCH($B9&amp;"|"&amp;$C9,ETIQUETAS!$A$2:$A$73,0))&amp;"","")</f>
        <v/>
      </c>
      <c r="G9" s="7">
        <f>IFERROR(INDEX(ETIQUETAS!$I$2:$I$73,MATCH($B9&amp;"|"&amp;$C9,ETIQUETAS!$A$2:$A$73,0))&amp;"","")</f>
        <v/>
      </c>
      <c r="H9" s="9">
        <f>IF($D9="","unidade não existe","ok")</f>
        <v/>
      </c>
    </row>
    <row r="11">
      <c r="A11" s="3" t="inlineStr">
        <is>
          <t>2 · QUEM CADA AÇÃO ALCANÇA</t>
        </is>
      </c>
      <c r="D11" s="10" t="inlineStr">
        <is>
          <t>Linha cheia = cena com essa ação já mira esses alunos sem adaptação nenhuma.</t>
        </is>
      </c>
    </row>
    <row r="12">
      <c r="A12" s="4" t="inlineStr">
        <is>
          <t>AÇÃO</t>
        </is>
      </c>
      <c r="B12" s="4">
        <f>$A$6</f>
        <v/>
      </c>
      <c r="C12" s="4">
        <f>$A$7</f>
        <v/>
      </c>
      <c r="D12" s="4">
        <f>$A$8</f>
        <v/>
      </c>
      <c r="E12" s="4">
        <f>$A$9</f>
        <v/>
      </c>
      <c r="F12" s="4" t="inlineStr">
        <is>
          <t>ALCANÇA</t>
        </is>
      </c>
    </row>
    <row r="13">
      <c r="A13" s="11" t="inlineStr">
        <is>
          <t>Identify</t>
        </is>
      </c>
      <c r="B13" s="12">
        <f>IF(COUNTIF($E6:$F6,$A13)&gt;0,$A$6,"")</f>
        <v/>
      </c>
      <c r="C13" s="12">
        <f>IF(COUNTIF($E7:$F7,$A13)&gt;0,$A$7,"")</f>
        <v/>
      </c>
      <c r="D13" s="12">
        <f>IF(COUNTIF($E8:$F8,$A13)&gt;0,$A$8,"")</f>
        <v/>
      </c>
      <c r="E13" s="12">
        <f>IF(COUNTIF($E9:$F9,$A13)&gt;0,$A$9,"")</f>
        <v/>
      </c>
      <c r="F13" s="13">
        <f>COUNTIF($E$6:$F$9,$A13)</f>
        <v/>
      </c>
    </row>
    <row r="14">
      <c r="A14" s="14" t="inlineStr">
        <is>
          <t>Describe</t>
        </is>
      </c>
      <c r="B14" s="9">
        <f>IF(COUNTIF($E6:$F6,$A14)&gt;0,$A$6,"")</f>
        <v/>
      </c>
      <c r="C14" s="9">
        <f>IF(COUNTIF($E7:$F7,$A14)&gt;0,$A$7,"")</f>
        <v/>
      </c>
      <c r="D14" s="9">
        <f>IF(COUNTIF($E8:$F8,$A14)&gt;0,$A$8,"")</f>
        <v/>
      </c>
      <c r="E14" s="9">
        <f>IF(COUNTIF($E9:$F9,$A14)&gt;0,$A$9,"")</f>
        <v/>
      </c>
      <c r="F14" s="15">
        <f>COUNTIF($E$6:$F$9,$A14)</f>
        <v/>
      </c>
    </row>
    <row r="15">
      <c r="A15" s="11" t="inlineStr">
        <is>
          <t>Quantify</t>
        </is>
      </c>
      <c r="B15" s="12">
        <f>IF(COUNTIF($E6:$F6,$A15)&gt;0,$A$6,"")</f>
        <v/>
      </c>
      <c r="C15" s="12">
        <f>IF(COUNTIF($E7:$F7,$A15)&gt;0,$A$7,"")</f>
        <v/>
      </c>
      <c r="D15" s="12">
        <f>IF(COUNTIF($E8:$F8,$A15)&gt;0,$A$8,"")</f>
        <v/>
      </c>
      <c r="E15" s="12">
        <f>IF(COUNTIF($E9:$F9,$A15)&gt;0,$A$9,"")</f>
        <v/>
      </c>
      <c r="F15" s="13">
        <f>COUNTIF($E$6:$F$9,$A15)</f>
        <v/>
      </c>
    </row>
    <row r="16">
      <c r="A16" s="14" t="inlineStr">
        <is>
          <t>Ability &amp; Progress</t>
        </is>
      </c>
      <c r="B16" s="9">
        <f>IF(COUNTIF($E6:$F6,$A16)&gt;0,$A$6,"")</f>
        <v/>
      </c>
      <c r="C16" s="9">
        <f>IF(COUNTIF($E7:$F7,$A16)&gt;0,$A$7,"")</f>
        <v/>
      </c>
      <c r="D16" s="9">
        <f>IF(COUNTIF($E8:$F8,$A16)&gt;0,$A$8,"")</f>
        <v/>
      </c>
      <c r="E16" s="9">
        <f>IF(COUNTIF($E9:$F9,$A16)&gt;0,$A$9,"")</f>
        <v/>
      </c>
      <c r="F16" s="15">
        <f>COUNTIF($E$6:$F$9,$A16)</f>
        <v/>
      </c>
    </row>
    <row r="17">
      <c r="A17" s="11" t="inlineStr">
        <is>
          <t>Narrate</t>
        </is>
      </c>
      <c r="B17" s="12">
        <f>IF(COUNTIF($E6:$F6,$A17)&gt;0,$A$6,"")</f>
        <v/>
      </c>
      <c r="C17" s="12">
        <f>IF(COUNTIF($E7:$F7,$A17)&gt;0,$A$7,"")</f>
        <v/>
      </c>
      <c r="D17" s="12">
        <f>IF(COUNTIF($E8:$F8,$A17)&gt;0,$A$8,"")</f>
        <v/>
      </c>
      <c r="E17" s="12">
        <f>IF(COUNTIF($E9:$F9,$A17)&gt;0,$A$9,"")</f>
        <v/>
      </c>
      <c r="F17" s="13">
        <f>COUNTIF($E$6:$F$9,$A17)</f>
        <v/>
      </c>
    </row>
    <row r="18">
      <c r="A18" s="14" t="inlineStr">
        <is>
          <t>Report</t>
        </is>
      </c>
      <c r="B18" s="9">
        <f>IF(COUNTIF($E6:$F6,$A18)&gt;0,$A$6,"")</f>
        <v/>
      </c>
      <c r="C18" s="9">
        <f>IF(COUNTIF($E7:$F7,$A18)&gt;0,$A$7,"")</f>
        <v/>
      </c>
      <c r="D18" s="9">
        <f>IF(COUNTIF($E8:$F8,$A18)&gt;0,$A$8,"")</f>
        <v/>
      </c>
      <c r="E18" s="9">
        <f>IF(COUNTIF($E9:$F9,$A18)&gt;0,$A$9,"")</f>
        <v/>
      </c>
      <c r="F18" s="15">
        <f>COUNTIF($E$6:$F$9,$A18)</f>
        <v/>
      </c>
    </row>
    <row r="19">
      <c r="A19" s="11" t="inlineStr">
        <is>
          <t>Plan</t>
        </is>
      </c>
      <c r="B19" s="12">
        <f>IF(COUNTIF($E6:$F6,$A19)&gt;0,$A$6,"")</f>
        <v/>
      </c>
      <c r="C19" s="12">
        <f>IF(COUNTIF($E7:$F7,$A19)&gt;0,$A$7,"")</f>
        <v/>
      </c>
      <c r="D19" s="12">
        <f>IF(COUNTIF($E8:$F8,$A19)&gt;0,$A$8,"")</f>
        <v/>
      </c>
      <c r="E19" s="12">
        <f>IF(COUNTIF($E9:$F9,$A19)&gt;0,$A$9,"")</f>
        <v/>
      </c>
      <c r="F19" s="13">
        <f>COUNTIF($E$6:$F$9,$A19)</f>
        <v/>
      </c>
    </row>
    <row r="20">
      <c r="A20" s="14" t="inlineStr">
        <is>
          <t>Regulate</t>
        </is>
      </c>
      <c r="B20" s="9">
        <f>IF(COUNTIF($E6:$F6,$A20)&gt;0,$A$6,"")</f>
        <v/>
      </c>
      <c r="C20" s="9">
        <f>IF(COUNTIF($E7:$F7,$A20)&gt;0,$A$7,"")</f>
        <v/>
      </c>
      <c r="D20" s="9">
        <f>IF(COUNTIF($E8:$F8,$A20)&gt;0,$A$8,"")</f>
        <v/>
      </c>
      <c r="E20" s="9">
        <f>IF(COUNTIF($E9:$F9,$A20)&gt;0,$A$9,"")</f>
        <v/>
      </c>
      <c r="F20" s="15">
        <f>COUNTIF($E$6:$F$9,$A20)</f>
        <v/>
      </c>
    </row>
    <row r="21">
      <c r="A21" s="11" t="inlineStr">
        <is>
          <t>Speculate</t>
        </is>
      </c>
      <c r="B21" s="12">
        <f>IF(COUNTIF($E6:$F6,$A21)&gt;0,$A$6,"")</f>
        <v/>
      </c>
      <c r="C21" s="12">
        <f>IF(COUNTIF($E7:$F7,$A21)&gt;0,$A$7,"")</f>
        <v/>
      </c>
      <c r="D21" s="12">
        <f>IF(COUNTIF($E8:$F8,$A21)&gt;0,$A$8,"")</f>
        <v/>
      </c>
      <c r="E21" s="12">
        <f>IF(COUNTIF($E9:$F9,$A21)&gt;0,$A$9,"")</f>
        <v/>
      </c>
      <c r="F21" s="13">
        <f>COUNTIF($E$6:$F$9,$A21)</f>
        <v/>
      </c>
    </row>
    <row r="22">
      <c r="A22" s="14" t="inlineStr">
        <is>
          <t>Suppose</t>
        </is>
      </c>
      <c r="B22" s="9">
        <f>IF(COUNTIF($E6:$F6,$A22)&gt;0,$A$6,"")</f>
        <v/>
      </c>
      <c r="C22" s="9">
        <f>IF(COUNTIF($E7:$F7,$A22)&gt;0,$A$7,"")</f>
        <v/>
      </c>
      <c r="D22" s="9">
        <f>IF(COUNTIF($E8:$F8,$A22)&gt;0,$A$8,"")</f>
        <v/>
      </c>
      <c r="E22" s="9">
        <f>IF(COUNTIF($E9:$F9,$A22)&gt;0,$A$9,"")</f>
        <v/>
      </c>
      <c r="F22" s="15">
        <f>COUNTIF($E$6:$F$9,$A22)</f>
        <v/>
      </c>
    </row>
    <row r="23">
      <c r="A23" s="11" t="inlineStr">
        <is>
          <t>Argue</t>
        </is>
      </c>
      <c r="B23" s="12">
        <f>IF(COUNTIF($E6:$F6,$A23)&gt;0,$A$6,"")</f>
        <v/>
      </c>
      <c r="C23" s="12">
        <f>IF(COUNTIF($E7:$F7,$A23)&gt;0,$A$7,"")</f>
        <v/>
      </c>
      <c r="D23" s="12">
        <f>IF(COUNTIF($E8:$F8,$A23)&gt;0,$A$8,"")</f>
        <v/>
      </c>
      <c r="E23" s="12">
        <f>IF(COUNTIF($E9:$F9,$A23)&gt;0,$A$9,"")</f>
        <v/>
      </c>
      <c r="F23" s="13">
        <f>COUNTIF($E$6:$F$9,$A23)</f>
        <v/>
      </c>
    </row>
    <row r="24">
      <c r="A24" s="14" t="inlineStr">
        <is>
          <t>React</t>
        </is>
      </c>
      <c r="B24" s="9">
        <f>IF(COUNTIF($E6:$F6,$A24)&gt;0,$A$6,"")</f>
        <v/>
      </c>
      <c r="C24" s="9">
        <f>IF(COUNTIF($E7:$F7,$A24)&gt;0,$A$7,"")</f>
        <v/>
      </c>
      <c r="D24" s="9">
        <f>IF(COUNTIF($E8:$F8,$A24)&gt;0,$A$8,"")</f>
        <v/>
      </c>
      <c r="E24" s="9">
        <f>IF(COUNTIF($E9:$F9,$A24)&gt;0,$A$9,"")</f>
        <v/>
      </c>
      <c r="F24" s="15">
        <f>COUNTIF($E$6:$F$9,$A24)</f>
        <v/>
      </c>
    </row>
    <row r="25">
      <c r="A25" s="11" t="inlineStr">
        <is>
          <t>Register &amp; Nuance</t>
        </is>
      </c>
      <c r="B25" s="12">
        <f>IF(COUNTIF($E6:$F6,$A25)&gt;0,$A$6,"")</f>
        <v/>
      </c>
      <c r="C25" s="12">
        <f>IF(COUNTIF($E7:$F7,$A25)&gt;0,$A$7,"")</f>
        <v/>
      </c>
      <c r="D25" s="12">
        <f>IF(COUNTIF($E8:$F8,$A25)&gt;0,$A$8,"")</f>
        <v/>
      </c>
      <c r="E25" s="12">
        <f>IF(COUNTIF($E9:$F9,$A25)&gt;0,$A$9,"")</f>
        <v/>
      </c>
      <c r="F25" s="13">
        <f>COUNTIF($E$6:$F$9,$A25)</f>
        <v/>
      </c>
    </row>
    <row r="27" ht="24" customHeight="1">
      <c r="A27" s="16" t="inlineStr">
        <is>
          <t>MELHOR HOJE</t>
        </is>
      </c>
      <c r="B27" s="17">
        <f>IF(MAX($F$13:$F$25)=0,"—",INDEX($A$13:$A$25,MATCH(MAX($F$13:$F$25),$F$13:$F$25,0))&amp;"  ("&amp;MAX($F$13:$F$25)&amp;" de 4)")</f>
        <v/>
      </c>
      <c r="C27" s="18" t="n"/>
      <c r="D27" s="18" t="n"/>
      <c r="E27" s="18" t="n"/>
    </row>
    <row r="29">
      <c r="A29" s="3" t="inlineStr">
        <is>
          <t>3 · A CENA QUE VOCÊ PLANEJOU</t>
        </is>
      </c>
      <c r="D29" s="10" t="inlineStr">
        <is>
          <t>Escolha até três ações que a cena puxa. A tabela diz quem fica de fora e o que fazer.</t>
        </is>
      </c>
    </row>
    <row r="30">
      <c r="A30" s="7" t="inlineStr">
        <is>
          <t>Ação 1 da cena</t>
        </is>
      </c>
      <c r="B30" s="19" t="inlineStr">
        <is>
          <t>Regulate</t>
        </is>
      </c>
      <c r="C30" s="20" t="n"/>
    </row>
    <row r="31">
      <c r="A31" s="7" t="inlineStr">
        <is>
          <t>Ação 2 da cena</t>
        </is>
      </c>
      <c r="B31" s="19" t="inlineStr">
        <is>
          <t>Identify</t>
        </is>
      </c>
      <c r="C31" s="20" t="n"/>
    </row>
    <row r="32">
      <c r="A32" s="7" t="inlineStr">
        <is>
          <t>Ação 3 da cena</t>
        </is>
      </c>
      <c r="B32" s="19" t="inlineStr"/>
      <c r="C32" s="20" t="n"/>
    </row>
    <row r="34">
      <c r="A34" s="4" t="inlineStr">
        <is>
          <t>ALUNO</t>
        </is>
      </c>
      <c r="B34" s="4" t="inlineStr">
        <is>
          <t>SITUAÇÃO</t>
        </is>
      </c>
      <c r="C34" s="4" t="inlineStr">
        <is>
          <t>SE FICOU DE FORA, PEÇA ISTO NA CENA</t>
        </is>
      </c>
      <c r="D34" s="21" t="n"/>
      <c r="E34" s="21" t="n"/>
      <c r="F34" s="20" t="n"/>
    </row>
    <row r="35" ht="22" customHeight="1">
      <c r="A35" s="14">
        <f>$A$6</f>
        <v/>
      </c>
      <c r="B35" s="15">
        <f>IF(COUNTIF($E6:$F6,$B$30)+COUNTIF($E6:$F6,$B$31)+COUNTIF($E6:$F6,$B$32)&gt;0,"coberto","FALTA")</f>
        <v/>
      </c>
      <c r="C35" s="7">
        <f>IF(COUNTIF($E6:$F6,$B$30)+COUNTIF($E6:$F6,$B$31)+COUNTIF($E6:$F6,$B$32)&gt;0,"","Inclua uma fala de NPC que peça "&amp;$E6&amp;IF($F6="",""," ou "&amp;$F6)&amp;" — "&amp;$D6)</f>
        <v/>
      </c>
      <c r="D35" s="21" t="n"/>
      <c r="E35" s="21" t="n"/>
      <c r="F35" s="20" t="n"/>
    </row>
    <row r="36" ht="22" customHeight="1">
      <c r="A36" s="14">
        <f>$A$7</f>
        <v/>
      </c>
      <c r="B36" s="15">
        <f>IF(COUNTIF($E7:$F7,$B$30)+COUNTIF($E7:$F7,$B$31)+COUNTIF($E7:$F7,$B$32)&gt;0,"coberto","FALTA")</f>
        <v/>
      </c>
      <c r="C36" s="7">
        <f>IF(COUNTIF($E7:$F7,$B$30)+COUNTIF($E7:$F7,$B$31)+COUNTIF($E7:$F7,$B$32)&gt;0,"","Inclua uma fala de NPC que peça "&amp;$E7&amp;IF($F7="",""," ou "&amp;$F7)&amp;" — "&amp;$D7)</f>
        <v/>
      </c>
      <c r="D36" s="21" t="n"/>
      <c r="E36" s="21" t="n"/>
      <c r="F36" s="20" t="n"/>
    </row>
    <row r="37" ht="22" customHeight="1">
      <c r="A37" s="14">
        <f>$A$8</f>
        <v/>
      </c>
      <c r="B37" s="15">
        <f>IF(COUNTIF($E8:$F8,$B$30)+COUNTIF($E8:$F8,$B$31)+COUNTIF($E8:$F8,$B$32)&gt;0,"coberto","FALTA")</f>
        <v/>
      </c>
      <c r="C37" s="7">
        <f>IF(COUNTIF($E8:$F8,$B$30)+COUNTIF($E8:$F8,$B$31)+COUNTIF($E8:$F8,$B$32)&gt;0,"","Inclua uma fala de NPC que peça "&amp;$E8&amp;IF($F8="",""," ou "&amp;$F8)&amp;" — "&amp;$D8)</f>
        <v/>
      </c>
      <c r="D37" s="21" t="n"/>
      <c r="E37" s="21" t="n"/>
      <c r="F37" s="20" t="n"/>
    </row>
    <row r="38" ht="22" customHeight="1">
      <c r="A38" s="14">
        <f>$A$9</f>
        <v/>
      </c>
      <c r="B38" s="15">
        <f>IF(COUNTIF($E9:$F9,$B$30)+COUNTIF($E9:$F9,$B$31)+COUNTIF($E9:$F9,$B$32)&gt;0,"coberto","FALTA")</f>
        <v/>
      </c>
      <c r="C38" s="7">
        <f>IF(COUNTIF($E9:$F9,$B$30)+COUNTIF($E9:$F9,$B$31)+COUNTIF($E9:$F9,$B$32)&gt;0,"","Inclua uma fala de NPC que peça "&amp;$E9&amp;IF($F9="",""," ou "&amp;$F9)&amp;" — "&amp;$D9)</f>
        <v/>
      </c>
      <c r="D38" s="21" t="n"/>
      <c r="E38" s="21" t="n"/>
      <c r="F38" s="20" t="n"/>
    </row>
    <row r="40">
      <c r="A40" s="22" t="inlineStr">
        <is>
          <t>A coluna da direita é o ajuste de trinta segundos: você não muda a cena, só acrescenta uma fala de NPC que peça daquele aluno o que ele está estudando. Quem faz cada ação naturalmente está na aba ACOES do catálogo — Halden, Piro, Sable, Quill ou The Tenant.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/>
  </sheetData>
  <mergeCells count="10">
    <mergeCell ref="B30:C30"/>
    <mergeCell ref="B27:E27"/>
    <mergeCell ref="C35:F35"/>
    <mergeCell ref="C34:F34"/>
    <mergeCell ref="C38:F38"/>
    <mergeCell ref="A40:H41"/>
    <mergeCell ref="B32:C32"/>
    <mergeCell ref="B31:C31"/>
    <mergeCell ref="C37:F37"/>
    <mergeCell ref="C36:F36"/>
  </mergeCells>
  <dataValidations count="3">
    <dataValidation sqref="B6:B9" showDropDown="0" showInputMessage="0" showErrorMessage="0" allowBlank="1" type="list">
      <formula1>"1,2,3,4,5,6"</formula1>
    </dataValidation>
    <dataValidation sqref="C6:C9" showDropDown="0" showInputMessage="0" showErrorMessage="0" allowBlank="1" type="list">
      <formula1>"1,2,3,4,5,6,7,8,9,10,11,12"</formula1>
    </dataValidation>
    <dataValidation sqref="B30:B32" showDropDown="0" showInputMessage="0" showErrorMessage="0" allowBlank="1" type="list">
      <formula1>"Identify,Describe,Quantify,Ability &amp; Progress,Narrate,Report,Plan,Regulate,Speculate,Suppose,Argue,React,Register &amp; Nuance"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6" customWidth="1" min="4" max="4"/>
    <col width="26" customWidth="1" min="5" max="5"/>
    <col width="50" customWidth="1" min="6" max="6"/>
    <col width="18" customWidth="1" min="7" max="7"/>
    <col width="18" customWidth="1" min="8" max="8"/>
    <col width="22" customWidth="1" min="9" max="9"/>
  </cols>
  <sheetData>
    <row r="1">
      <c r="A1" s="4" t="inlineStr">
        <is>
          <t>CHAVE</t>
        </is>
      </c>
      <c r="B1" s="4" t="inlineStr">
        <is>
          <t>NÍVEL</t>
        </is>
      </c>
      <c r="C1" s="4" t="inlineStr">
        <is>
          <t>EVOLVE</t>
        </is>
      </c>
      <c r="D1" s="4" t="inlineStr">
        <is>
          <t>UN.</t>
        </is>
      </c>
      <c r="E1" s="4" t="inlineStr">
        <is>
          <t>TÍTULO</t>
        </is>
      </c>
      <c r="F1" s="4" t="inlineStr">
        <is>
          <t>GRAMÁTICA</t>
        </is>
      </c>
      <c r="G1" s="4" t="inlineStr">
        <is>
          <t>AÇÃO 1</t>
        </is>
      </c>
      <c r="H1" s="4" t="inlineStr">
        <is>
          <t>AÇÃO 2</t>
        </is>
      </c>
      <c r="I1" s="4" t="inlineStr">
        <is>
          <t>DOMÍNIO</t>
        </is>
      </c>
    </row>
    <row r="2">
      <c r="A2" s="12" t="inlineStr">
        <is>
          <t>1|1</t>
        </is>
      </c>
      <c r="B2" s="12" t="inlineStr">
        <is>
          <t>A1</t>
        </is>
      </c>
      <c r="C2" s="12" t="n">
        <v>1</v>
      </c>
      <c r="D2" s="12" t="n">
        <v>1</v>
      </c>
      <c r="E2" s="24" t="inlineStr">
        <is>
          <t>I am…</t>
        </is>
      </c>
      <c r="F2" s="24" t="inlineStr">
        <is>
          <t>I am, you are; What's…?; It's…</t>
        </is>
      </c>
      <c r="G2" s="24" t="inlineStr">
        <is>
          <t>Identify</t>
        </is>
      </c>
      <c r="H2" s="24" t="inlineStr"/>
      <c r="I2" s="24" t="inlineStr">
        <is>
          <t>People &amp; Relationships</t>
        </is>
      </c>
    </row>
    <row r="3">
      <c r="A3" s="12" t="inlineStr">
        <is>
          <t>1|2</t>
        </is>
      </c>
      <c r="B3" s="12" t="inlineStr">
        <is>
          <t>A1</t>
        </is>
      </c>
      <c r="C3" s="12" t="n">
        <v>1</v>
      </c>
      <c r="D3" s="12" t="n">
        <v>2</v>
      </c>
      <c r="E3" s="24" t="inlineStr">
        <is>
          <t>Great people</t>
        </is>
      </c>
      <c r="F3" s="24" t="inlineStr">
        <is>
          <t>is/are (afirm. e pergunta); is not/are not</t>
        </is>
      </c>
      <c r="G3" s="24" t="inlineStr">
        <is>
          <t>Identify</t>
        </is>
      </c>
      <c r="H3" s="24" t="inlineStr">
        <is>
          <t>Describe</t>
        </is>
      </c>
      <c r="I3" s="24" t="inlineStr">
        <is>
          <t>People &amp; Relationships</t>
        </is>
      </c>
    </row>
    <row r="4">
      <c r="A4" s="12" t="inlineStr">
        <is>
          <t>1|3</t>
        </is>
      </c>
      <c r="B4" s="12" t="inlineStr">
        <is>
          <t>A1</t>
        </is>
      </c>
      <c r="C4" s="12" t="n">
        <v>1</v>
      </c>
      <c r="D4" s="12" t="n">
        <v>3</v>
      </c>
      <c r="E4" s="24" t="inlineStr">
        <is>
          <t>Come in</t>
        </is>
      </c>
      <c r="F4" s="24" t="inlineStr">
        <is>
          <t>Possessive adjectives; possessive 's e s'; It is</t>
        </is>
      </c>
      <c r="G4" s="24" t="inlineStr">
        <is>
          <t>Describe</t>
        </is>
      </c>
      <c r="H4" s="24" t="inlineStr">
        <is>
          <t>Identify</t>
        </is>
      </c>
      <c r="I4" s="24" t="inlineStr">
        <is>
          <t>Places &amp; Environment</t>
        </is>
      </c>
    </row>
    <row r="5">
      <c r="A5" s="12" t="inlineStr">
        <is>
          <t>1|4</t>
        </is>
      </c>
      <c r="B5" s="12" t="inlineStr">
        <is>
          <t>A1</t>
        </is>
      </c>
      <c r="C5" s="12" t="n">
        <v>1</v>
      </c>
      <c r="D5" s="12" t="n">
        <v>4</v>
      </c>
      <c r="E5" s="24" t="inlineStr">
        <is>
          <t>I love it!</t>
        </is>
      </c>
      <c r="F5" s="24" t="inlineStr">
        <is>
          <t>Simple present (I/you/we); pergunta sim/não</t>
        </is>
      </c>
      <c r="G5" s="24" t="inlineStr">
        <is>
          <t>Describe</t>
        </is>
      </c>
      <c r="H5" s="24" t="inlineStr">
        <is>
          <t>Argue</t>
        </is>
      </c>
      <c r="I5" s="24" t="inlineStr">
        <is>
          <t>Objects &amp; Technology</t>
        </is>
      </c>
    </row>
    <row r="6">
      <c r="A6" s="12" t="inlineStr">
        <is>
          <t>1|5</t>
        </is>
      </c>
      <c r="B6" s="12" t="inlineStr">
        <is>
          <t>A1</t>
        </is>
      </c>
      <c r="C6" s="12" t="n">
        <v>1</v>
      </c>
      <c r="D6" s="12" t="n">
        <v>5</v>
      </c>
      <c r="E6" s="24" t="inlineStr">
        <is>
          <t>Mondays and fundays</t>
        </is>
      </c>
      <c r="F6" s="24" t="inlineStr">
        <is>
          <t>Simple present (he/she/they); questions</t>
        </is>
      </c>
      <c r="G6" s="24" t="inlineStr">
        <is>
          <t>Describe</t>
        </is>
      </c>
      <c r="H6" s="24" t="inlineStr"/>
      <c r="I6" s="24" t="inlineStr">
        <is>
          <t>People &amp; Relationships</t>
        </is>
      </c>
    </row>
    <row r="7">
      <c r="A7" s="12" t="inlineStr">
        <is>
          <t>1|6</t>
        </is>
      </c>
      <c r="B7" s="12" t="inlineStr">
        <is>
          <t>A1</t>
        </is>
      </c>
      <c r="C7" s="12" t="n">
        <v>1</v>
      </c>
      <c r="D7" s="12" t="n">
        <v>6</v>
      </c>
      <c r="E7" s="24" t="inlineStr">
        <is>
          <t>Zoom in, zoom out</t>
        </is>
      </c>
      <c r="F7" s="24" t="inlineStr">
        <is>
          <t>There's/There are; a lot of, some, no; count/non-count</t>
        </is>
      </c>
      <c r="G7" s="24" t="inlineStr">
        <is>
          <t>Quantify</t>
        </is>
      </c>
      <c r="H7" s="24" t="inlineStr">
        <is>
          <t>Describe</t>
        </is>
      </c>
      <c r="I7" s="24" t="inlineStr">
        <is>
          <t>Places &amp; Environment</t>
        </is>
      </c>
    </row>
    <row r="8">
      <c r="A8" s="12" t="inlineStr">
        <is>
          <t>1|7</t>
        </is>
      </c>
      <c r="B8" s="12" t="inlineStr">
        <is>
          <t>A1</t>
        </is>
      </c>
      <c r="C8" s="12" t="n">
        <v>1</v>
      </c>
      <c r="D8" s="12" t="n">
        <v>7</v>
      </c>
      <c r="E8" s="24" t="inlineStr">
        <is>
          <t>Now is good</t>
        </is>
      </c>
      <c r="F8" s="24" t="inlineStr">
        <is>
          <t>Present continuous (afirm. e pergunta)</t>
        </is>
      </c>
      <c r="G8" s="24" t="inlineStr">
        <is>
          <t>Describe</t>
        </is>
      </c>
      <c r="H8" s="24" t="inlineStr"/>
      <c r="I8" s="24" t="inlineStr">
        <is>
          <t>Places &amp; Environment</t>
        </is>
      </c>
    </row>
    <row r="9">
      <c r="A9" s="12" t="inlineStr">
        <is>
          <t>1|8</t>
        </is>
      </c>
      <c r="B9" s="12" t="inlineStr">
        <is>
          <t>A1</t>
        </is>
      </c>
      <c r="C9" s="12" t="n">
        <v>1</v>
      </c>
      <c r="D9" s="12" t="n">
        <v>8</v>
      </c>
      <c r="E9" s="24" t="inlineStr">
        <is>
          <t>You're good!</t>
        </is>
      </c>
      <c r="F9" s="24" t="inlineStr">
        <is>
          <t>can/can't (habilidade e possibilidade); well</t>
        </is>
      </c>
      <c r="G9" s="24" t="inlineStr">
        <is>
          <t>Ability &amp; Progress</t>
        </is>
      </c>
      <c r="H9" s="24" t="inlineStr">
        <is>
          <t>Describe</t>
        </is>
      </c>
      <c r="I9" s="24" t="inlineStr">
        <is>
          <t>Work &amp; Learning</t>
        </is>
      </c>
    </row>
    <row r="10">
      <c r="A10" s="12" t="inlineStr">
        <is>
          <t>1|9</t>
        </is>
      </c>
      <c r="B10" s="12" t="inlineStr">
        <is>
          <t>A1</t>
        </is>
      </c>
      <c r="C10" s="12" t="n">
        <v>1</v>
      </c>
      <c r="D10" s="12" t="n">
        <v>9</v>
      </c>
      <c r="E10" s="24" t="inlineStr">
        <is>
          <t>Places to go</t>
        </is>
      </c>
      <c r="F10" s="24" t="inlineStr">
        <is>
          <t>this/these; like to, want to, need to, have to</t>
        </is>
      </c>
      <c r="G10" s="24" t="inlineStr">
        <is>
          <t>Plan</t>
        </is>
      </c>
      <c r="H10" s="24" t="inlineStr">
        <is>
          <t>Regulate</t>
        </is>
      </c>
      <c r="I10" s="24" t="inlineStr">
        <is>
          <t>Journeys &amp; Movement</t>
        </is>
      </c>
    </row>
    <row r="11">
      <c r="A11" s="12" t="inlineStr">
        <is>
          <t>1|10</t>
        </is>
      </c>
      <c r="B11" s="12" t="inlineStr">
        <is>
          <t>A1</t>
        </is>
      </c>
      <c r="C11" s="12" t="n">
        <v>1</v>
      </c>
      <c r="D11" s="12" t="n">
        <v>10</v>
      </c>
      <c r="E11" s="24" t="inlineStr">
        <is>
          <t>Get ready</t>
        </is>
      </c>
      <c r="F11" s="24" t="inlineStr">
        <is>
          <t>be going to (afirm. e pergunta)</t>
        </is>
      </c>
      <c r="G11" s="24" t="inlineStr">
        <is>
          <t>Plan</t>
        </is>
      </c>
      <c r="H11" s="24" t="inlineStr"/>
      <c r="I11" s="24" t="inlineStr">
        <is>
          <t>Society &amp; Culture</t>
        </is>
      </c>
    </row>
    <row r="12">
      <c r="A12" s="12" t="inlineStr">
        <is>
          <t>1|11</t>
        </is>
      </c>
      <c r="B12" s="12" t="inlineStr">
        <is>
          <t>A1</t>
        </is>
      </c>
      <c r="C12" s="12" t="n">
        <v>1</v>
      </c>
      <c r="D12" s="12" t="n">
        <v>11</v>
      </c>
      <c r="E12" s="24" t="inlineStr">
        <is>
          <t>Colorful memories</t>
        </is>
      </c>
      <c r="F12" s="24" t="inlineStr">
        <is>
          <t>was/were (afirm. e pergunta)</t>
        </is>
      </c>
      <c r="G12" s="24" t="inlineStr">
        <is>
          <t>Narrate</t>
        </is>
      </c>
      <c r="H12" s="24" t="inlineStr">
        <is>
          <t>Describe</t>
        </is>
      </c>
      <c r="I12" s="24" t="inlineStr">
        <is>
          <t>Places &amp; Environment</t>
        </is>
      </c>
    </row>
    <row r="13">
      <c r="A13" s="12" t="inlineStr">
        <is>
          <t>1|12</t>
        </is>
      </c>
      <c r="B13" s="12" t="inlineStr">
        <is>
          <t>A1</t>
        </is>
      </c>
      <c r="C13" s="12" t="n">
        <v>1</v>
      </c>
      <c r="D13" s="12" t="n">
        <v>12</v>
      </c>
      <c r="E13" s="24" t="inlineStr">
        <is>
          <t>Stop, eat, go</t>
        </is>
      </c>
      <c r="F13" s="24" t="inlineStr">
        <is>
          <t>Simple past (afirm. e pergunta); any</t>
        </is>
      </c>
      <c r="G13" s="24" t="inlineStr">
        <is>
          <t>Narrate</t>
        </is>
      </c>
      <c r="H13" s="24" t="inlineStr">
        <is>
          <t>Quantify</t>
        </is>
      </c>
      <c r="I13" s="24" t="inlineStr">
        <is>
          <t>Body, Food &amp; Health</t>
        </is>
      </c>
    </row>
    <row r="14">
      <c r="A14" s="9" t="inlineStr">
        <is>
          <t>2|1</t>
        </is>
      </c>
      <c r="B14" s="9" t="inlineStr">
        <is>
          <t>A2</t>
        </is>
      </c>
      <c r="C14" s="9" t="n">
        <v>2</v>
      </c>
      <c r="D14" s="9" t="n">
        <v>1</v>
      </c>
      <c r="E14" s="25" t="inlineStr">
        <is>
          <t>Connections</t>
        </is>
      </c>
      <c r="F14" s="25" t="inlineStr">
        <is>
          <t>be; possessive adjectives e pronouns; possessive 's</t>
        </is>
      </c>
      <c r="G14" s="25" t="inlineStr">
        <is>
          <t>Identify</t>
        </is>
      </c>
      <c r="H14" s="25" t="inlineStr"/>
      <c r="I14" s="25" t="inlineStr">
        <is>
          <t>People &amp; Relationships</t>
        </is>
      </c>
    </row>
    <row r="15">
      <c r="A15" s="9" t="inlineStr">
        <is>
          <t>2|2</t>
        </is>
      </c>
      <c r="B15" s="9" t="inlineStr">
        <is>
          <t>A2</t>
        </is>
      </c>
      <c r="C15" s="9" t="n">
        <v>2</v>
      </c>
      <c r="D15" s="9" t="n">
        <v>2</v>
      </c>
      <c r="E15" s="25" t="inlineStr">
        <is>
          <t>Work and Study</t>
        </is>
      </c>
      <c r="F15" s="25" t="inlineStr">
        <is>
          <t>Simple present (hábitos); adverbs of frequency; demonstratives</t>
        </is>
      </c>
      <c r="G15" s="25" t="inlineStr">
        <is>
          <t>Describe</t>
        </is>
      </c>
      <c r="H15" s="25" t="inlineStr"/>
      <c r="I15" s="25" t="inlineStr">
        <is>
          <t>Work &amp; Learning</t>
        </is>
      </c>
    </row>
    <row r="16">
      <c r="A16" s="9" t="inlineStr">
        <is>
          <t>2|3</t>
        </is>
      </c>
      <c r="B16" s="9" t="inlineStr">
        <is>
          <t>A2</t>
        </is>
      </c>
      <c r="C16" s="9" t="n">
        <v>2</v>
      </c>
      <c r="D16" s="9" t="n">
        <v>3</v>
      </c>
      <c r="E16" s="25" t="inlineStr">
        <is>
          <t>Let's Move</t>
        </is>
      </c>
      <c r="F16" s="25" t="inlineStr">
        <is>
          <t>Present continuous; contraste simple present x continuous</t>
        </is>
      </c>
      <c r="G16" s="25" t="inlineStr">
        <is>
          <t>Describe</t>
        </is>
      </c>
      <c r="H16" s="25" t="inlineStr"/>
      <c r="I16" s="25" t="inlineStr">
        <is>
          <t>Body, Food &amp; Health</t>
        </is>
      </c>
    </row>
    <row r="17">
      <c r="A17" s="9" t="inlineStr">
        <is>
          <t>2|4</t>
        </is>
      </c>
      <c r="B17" s="9" t="inlineStr">
        <is>
          <t>A2</t>
        </is>
      </c>
      <c r="C17" s="9" t="n">
        <v>2</v>
      </c>
      <c r="D17" s="9" t="n">
        <v>4</v>
      </c>
      <c r="E17" s="25" t="inlineStr">
        <is>
          <t>Good Times</t>
        </is>
      </c>
      <c r="F17" s="25" t="inlineStr">
        <is>
          <t>Present continuous (planos futuros); object pronouns</t>
        </is>
      </c>
      <c r="G17" s="25" t="inlineStr">
        <is>
          <t>Plan</t>
        </is>
      </c>
      <c r="H17" s="25" t="inlineStr">
        <is>
          <t>Describe</t>
        </is>
      </c>
      <c r="I17" s="25" t="inlineStr">
        <is>
          <t>Society &amp; Culture</t>
        </is>
      </c>
    </row>
    <row r="18">
      <c r="A18" s="9" t="inlineStr">
        <is>
          <t>2|5</t>
        </is>
      </c>
      <c r="B18" s="9" t="inlineStr">
        <is>
          <t>A2</t>
        </is>
      </c>
      <c r="C18" s="9" t="n">
        <v>2</v>
      </c>
      <c r="D18" s="9" t="n">
        <v>5</v>
      </c>
      <c r="E18" s="25" t="inlineStr">
        <is>
          <t>Firsts and Lasts</t>
        </is>
      </c>
      <c r="F18" s="25" t="inlineStr">
        <is>
          <t>Simple past (afirm., neg. e pergunta)</t>
        </is>
      </c>
      <c r="G18" s="25" t="inlineStr">
        <is>
          <t>Narrate</t>
        </is>
      </c>
      <c r="H18" s="25" t="inlineStr">
        <is>
          <t>React</t>
        </is>
      </c>
      <c r="I18" s="25" t="inlineStr">
        <is>
          <t>People &amp; Relationships</t>
        </is>
      </c>
    </row>
    <row r="19">
      <c r="A19" s="9" t="inlineStr">
        <is>
          <t>2|6</t>
        </is>
      </c>
      <c r="B19" s="9" t="inlineStr">
        <is>
          <t>A2</t>
        </is>
      </c>
      <c r="C19" s="9" t="n">
        <v>2</v>
      </c>
      <c r="D19" s="9" t="n">
        <v>6</v>
      </c>
      <c r="E19" s="25" t="inlineStr">
        <is>
          <t>Buy Now, Pay Later</t>
        </is>
      </c>
      <c r="F19" s="25" t="inlineStr">
        <is>
          <t>be going to; determiners (no/none, some, many, most, all)</t>
        </is>
      </c>
      <c r="G19" s="25" t="inlineStr">
        <is>
          <t>Plan</t>
        </is>
      </c>
      <c r="H19" s="25" t="inlineStr">
        <is>
          <t>Quantify</t>
        </is>
      </c>
      <c r="I19" s="25" t="inlineStr">
        <is>
          <t>Trade &amp; Value</t>
        </is>
      </c>
    </row>
    <row r="20">
      <c r="A20" s="9" t="inlineStr">
        <is>
          <t>2|7</t>
        </is>
      </c>
      <c r="B20" s="9" t="inlineStr">
        <is>
          <t>A2</t>
        </is>
      </c>
      <c r="C20" s="9" t="n">
        <v>2</v>
      </c>
      <c r="D20" s="9" t="n">
        <v>7</v>
      </c>
      <c r="E20" s="25" t="inlineStr">
        <is>
          <t>Eat, Drink, Be Happy</t>
        </is>
      </c>
      <c r="F20" s="25" t="inlineStr">
        <is>
          <t>Quantifiers; verb patterns</t>
        </is>
      </c>
      <c r="G20" s="25" t="inlineStr">
        <is>
          <t>Quantify</t>
        </is>
      </c>
      <c r="H20" s="25" t="inlineStr">
        <is>
          <t>Describe</t>
        </is>
      </c>
      <c r="I20" s="25" t="inlineStr">
        <is>
          <t>Body, Food &amp; Health</t>
        </is>
      </c>
    </row>
    <row r="21">
      <c r="A21" s="9" t="inlineStr">
        <is>
          <t>2|8</t>
        </is>
      </c>
      <c r="B21" s="9" t="inlineStr">
        <is>
          <t>A2</t>
        </is>
      </c>
      <c r="C21" s="9" t="n">
        <v>2</v>
      </c>
      <c r="D21" s="9" t="n">
        <v>8</v>
      </c>
      <c r="E21" s="25" t="inlineStr">
        <is>
          <t>Trips</t>
        </is>
      </c>
      <c r="F21" s="25" t="inlineStr">
        <is>
          <t>if/when; giving reasons with to/for</t>
        </is>
      </c>
      <c r="G21" s="25" t="inlineStr">
        <is>
          <t>Plan</t>
        </is>
      </c>
      <c r="H21" s="25" t="inlineStr">
        <is>
          <t>Argue</t>
        </is>
      </c>
      <c r="I21" s="25" t="inlineStr">
        <is>
          <t>Journeys &amp; Movement</t>
        </is>
      </c>
    </row>
    <row r="22">
      <c r="A22" s="9" t="inlineStr">
        <is>
          <t>2|9</t>
        </is>
      </c>
      <c r="B22" s="9" t="inlineStr">
        <is>
          <t>A2</t>
        </is>
      </c>
      <c r="C22" s="9" t="n">
        <v>2</v>
      </c>
      <c r="D22" s="9" t="n">
        <v>9</v>
      </c>
      <c r="E22" s="25" t="inlineStr">
        <is>
          <t>Looking Good</t>
        </is>
      </c>
      <c r="F22" s="25" t="inlineStr">
        <is>
          <t>Comparative and superlative adjectives</t>
        </is>
      </c>
      <c r="G22" s="25" t="inlineStr">
        <is>
          <t>Describe</t>
        </is>
      </c>
      <c r="H22" s="25" t="inlineStr"/>
      <c r="I22" s="25" t="inlineStr">
        <is>
          <t>People &amp; Relationships</t>
        </is>
      </c>
    </row>
    <row r="23">
      <c r="A23" s="9" t="inlineStr">
        <is>
          <t>2|10</t>
        </is>
      </c>
      <c r="B23" s="9" t="inlineStr">
        <is>
          <t>A2</t>
        </is>
      </c>
      <c r="C23" s="9" t="n">
        <v>2</v>
      </c>
      <c r="D23" s="9" t="n">
        <v>10</v>
      </c>
      <c r="E23" s="25" t="inlineStr">
        <is>
          <t>Risky Business</t>
        </is>
      </c>
      <c r="F23" s="25" t="inlineStr">
        <is>
          <t>have to; predictions com will/may/might</t>
        </is>
      </c>
      <c r="G23" s="25" t="inlineStr">
        <is>
          <t>Speculate</t>
        </is>
      </c>
      <c r="H23" s="25" t="inlineStr">
        <is>
          <t>Regulate</t>
        </is>
      </c>
      <c r="I23" s="25" t="inlineStr">
        <is>
          <t>Work &amp; Learning</t>
        </is>
      </c>
    </row>
    <row r="24">
      <c r="A24" s="9" t="inlineStr">
        <is>
          <t>2|11</t>
        </is>
      </c>
      <c r="B24" s="9" t="inlineStr">
        <is>
          <t>A2</t>
        </is>
      </c>
      <c r="C24" s="9" t="n">
        <v>2</v>
      </c>
      <c r="D24" s="9" t="n">
        <v>11</v>
      </c>
      <c r="E24" s="25" t="inlineStr">
        <is>
          <t>Me, Online</t>
        </is>
      </c>
      <c r="F24" s="25" t="inlineStr">
        <is>
          <t>Present perfect (experiências); present perfect x simple past</t>
        </is>
      </c>
      <c r="G24" s="25" t="inlineStr">
        <is>
          <t>Narrate</t>
        </is>
      </c>
      <c r="H24" s="25" t="inlineStr">
        <is>
          <t>Ability &amp; Progress</t>
        </is>
      </c>
      <c r="I24" s="25" t="inlineStr">
        <is>
          <t>Society &amp; Culture</t>
        </is>
      </c>
    </row>
    <row r="25">
      <c r="A25" s="9" t="inlineStr">
        <is>
          <t>2|12</t>
        </is>
      </c>
      <c r="B25" s="9" t="inlineStr">
        <is>
          <t>A2</t>
        </is>
      </c>
      <c r="C25" s="9" t="n">
        <v>2</v>
      </c>
      <c r="D25" s="9" t="n">
        <v>12</v>
      </c>
      <c r="E25" s="25" t="inlineStr">
        <is>
          <t>Outdoors</t>
        </is>
      </c>
      <c r="F25" s="25" t="inlineStr">
        <is>
          <t>be like; relative pronouns (who/which/that)</t>
        </is>
      </c>
      <c r="G25" s="25" t="inlineStr">
        <is>
          <t>Describe</t>
        </is>
      </c>
      <c r="H25" s="25" t="inlineStr"/>
      <c r="I25" s="25" t="inlineStr">
        <is>
          <t>Places &amp; Environment</t>
        </is>
      </c>
    </row>
    <row r="26">
      <c r="A26" s="12" t="inlineStr">
        <is>
          <t>3|1</t>
        </is>
      </c>
      <c r="B26" s="12" t="inlineStr">
        <is>
          <t>B1</t>
        </is>
      </c>
      <c r="C26" s="12" t="n">
        <v>3</v>
      </c>
      <c r="D26" s="12" t="n">
        <v>1</v>
      </c>
      <c r="E26" s="24" t="inlineStr">
        <is>
          <t>Who we are</t>
        </is>
      </c>
      <c r="F26" s="24" t="inlineStr">
        <is>
          <t>Information questions; indirect questions</t>
        </is>
      </c>
      <c r="G26" s="24" t="inlineStr">
        <is>
          <t>Identify</t>
        </is>
      </c>
      <c r="H26" s="24" t="inlineStr">
        <is>
          <t>Register &amp; Nuance</t>
        </is>
      </c>
      <c r="I26" s="24" t="inlineStr">
        <is>
          <t>People &amp; Relationships</t>
        </is>
      </c>
    </row>
    <row r="27">
      <c r="A27" s="12" t="inlineStr">
        <is>
          <t>3|2</t>
        </is>
      </c>
      <c r="B27" s="12" t="inlineStr">
        <is>
          <t>B1</t>
        </is>
      </c>
      <c r="C27" s="12" t="n">
        <v>3</v>
      </c>
      <c r="D27" s="12" t="n">
        <v>2</v>
      </c>
      <c r="E27" s="24" t="inlineStr">
        <is>
          <t>So much stuff</t>
        </is>
      </c>
      <c r="F27" s="24" t="inlineStr">
        <is>
          <t>Present perfect (ever/never/for/since; already/yet)</t>
        </is>
      </c>
      <c r="G27" s="24" t="inlineStr">
        <is>
          <t>Narrate</t>
        </is>
      </c>
      <c r="H27" s="24" t="inlineStr">
        <is>
          <t>Describe</t>
        </is>
      </c>
      <c r="I27" s="24" t="inlineStr">
        <is>
          <t>Objects &amp; Technology</t>
        </is>
      </c>
    </row>
    <row r="28">
      <c r="A28" s="12" t="inlineStr">
        <is>
          <t>3|3</t>
        </is>
      </c>
      <c r="B28" s="12" t="inlineStr">
        <is>
          <t>B1</t>
        </is>
      </c>
      <c r="C28" s="12" t="n">
        <v>3</v>
      </c>
      <c r="D28" s="12" t="n">
        <v>3</v>
      </c>
      <c r="E28" s="24" t="inlineStr">
        <is>
          <t>Smart moves</t>
        </is>
      </c>
      <c r="F28" s="24" t="inlineStr">
        <is>
          <t>Articles; modals for advice</t>
        </is>
      </c>
      <c r="G28" s="24" t="inlineStr">
        <is>
          <t>Regulate</t>
        </is>
      </c>
      <c r="H28" s="24" t="inlineStr">
        <is>
          <t>Describe</t>
        </is>
      </c>
      <c r="I28" s="24" t="inlineStr">
        <is>
          <t>Places &amp; Environment</t>
        </is>
      </c>
    </row>
    <row r="29">
      <c r="A29" s="12" t="inlineStr">
        <is>
          <t>3|4</t>
        </is>
      </c>
      <c r="B29" s="12" t="inlineStr">
        <is>
          <t>B1</t>
        </is>
      </c>
      <c r="C29" s="12" t="n">
        <v>3</v>
      </c>
      <c r="D29" s="12" t="n">
        <v>4</v>
      </c>
      <c r="E29" s="24" t="inlineStr">
        <is>
          <t>Think first</t>
        </is>
      </c>
      <c r="F29" s="24" t="inlineStr">
        <is>
          <t>be going to/will; will (decisão súbita); present continuous (futuro)</t>
        </is>
      </c>
      <c r="G29" s="24" t="inlineStr">
        <is>
          <t>Plan</t>
        </is>
      </c>
      <c r="H29" s="24" t="inlineStr">
        <is>
          <t>Speculate</t>
        </is>
      </c>
      <c r="I29" s="24" t="inlineStr">
        <is>
          <t>People &amp; Relationships</t>
        </is>
      </c>
    </row>
    <row r="30">
      <c r="A30" s="12" t="inlineStr">
        <is>
          <t>3|5</t>
        </is>
      </c>
      <c r="B30" s="12" t="inlineStr">
        <is>
          <t>B1</t>
        </is>
      </c>
      <c r="C30" s="12" t="n">
        <v>3</v>
      </c>
      <c r="D30" s="12" t="n">
        <v>5</v>
      </c>
      <c r="E30" s="24" t="inlineStr">
        <is>
          <t>And then…</t>
        </is>
      </c>
      <c r="F30" s="24" t="inlineStr">
        <is>
          <t>Simple past; past continuous x simple past</t>
        </is>
      </c>
      <c r="G30" s="24" t="inlineStr">
        <is>
          <t>Narrate</t>
        </is>
      </c>
      <c r="H30" s="24" t="inlineStr"/>
      <c r="I30" s="24" t="inlineStr">
        <is>
          <t>People &amp; Relationships</t>
        </is>
      </c>
    </row>
    <row r="31">
      <c r="A31" s="12" t="inlineStr">
        <is>
          <t>3|6</t>
        </is>
      </c>
      <c r="B31" s="12" t="inlineStr">
        <is>
          <t>B1</t>
        </is>
      </c>
      <c r="C31" s="12" t="n">
        <v>3</v>
      </c>
      <c r="D31" s="12" t="n">
        <v>6</v>
      </c>
      <c r="E31" s="24" t="inlineStr">
        <is>
          <t>Impact</t>
        </is>
      </c>
      <c r="F31" s="24" t="inlineStr">
        <is>
          <t>Quantifiers; real conditionals (presente e futuro)</t>
        </is>
      </c>
      <c r="G31" s="24" t="inlineStr">
        <is>
          <t>Argue</t>
        </is>
      </c>
      <c r="H31" s="24" t="inlineStr">
        <is>
          <t>Quantify</t>
        </is>
      </c>
      <c r="I31" s="24" t="inlineStr">
        <is>
          <t>Places &amp; Environment</t>
        </is>
      </c>
    </row>
    <row r="32">
      <c r="A32" s="12" t="inlineStr">
        <is>
          <t>3|7</t>
        </is>
      </c>
      <c r="B32" s="12" t="inlineStr">
        <is>
          <t>B1</t>
        </is>
      </c>
      <c r="C32" s="12" t="n">
        <v>3</v>
      </c>
      <c r="D32" s="12" t="n">
        <v>7</v>
      </c>
      <c r="E32" s="24" t="inlineStr">
        <is>
          <t>Entertain us</t>
        </is>
      </c>
      <c r="F32" s="24" t="inlineStr">
        <is>
          <t>used to; comparisons (not) as…as</t>
        </is>
      </c>
      <c r="G32" s="24" t="inlineStr">
        <is>
          <t>Narrate</t>
        </is>
      </c>
      <c r="H32" s="24" t="inlineStr">
        <is>
          <t>Describe</t>
        </is>
      </c>
      <c r="I32" s="24" t="inlineStr">
        <is>
          <t>Society &amp; Culture</t>
        </is>
      </c>
    </row>
    <row r="33">
      <c r="A33" s="12" t="inlineStr">
        <is>
          <t>3|8</t>
        </is>
      </c>
      <c r="B33" s="12" t="inlineStr">
        <is>
          <t>B1</t>
        </is>
      </c>
      <c r="C33" s="12" t="n">
        <v>3</v>
      </c>
      <c r="D33" s="12" t="n">
        <v>8</v>
      </c>
      <c r="E33" s="24" t="inlineStr">
        <is>
          <t>Getting there</t>
        </is>
      </c>
      <c r="F33" s="24" t="inlineStr">
        <is>
          <t>Present perfect continuous; contraste com present perfect</t>
        </is>
      </c>
      <c r="G33" s="24" t="inlineStr">
        <is>
          <t>Ability &amp; Progress</t>
        </is>
      </c>
      <c r="H33" s="24" t="inlineStr">
        <is>
          <t>Narrate</t>
        </is>
      </c>
      <c r="I33" s="24" t="inlineStr">
        <is>
          <t>Work &amp; Learning</t>
        </is>
      </c>
    </row>
    <row r="34">
      <c r="A34" s="12" t="inlineStr">
        <is>
          <t>3|9</t>
        </is>
      </c>
      <c r="B34" s="12" t="inlineStr">
        <is>
          <t>B1</t>
        </is>
      </c>
      <c r="C34" s="12" t="n">
        <v>3</v>
      </c>
      <c r="D34" s="12" t="n">
        <v>9</v>
      </c>
      <c r="E34" s="24" t="inlineStr">
        <is>
          <t>Make it work</t>
        </is>
      </c>
      <c r="F34" s="24" t="inlineStr">
        <is>
          <t>Modais de necessidade; modais de proibição e permissão</t>
        </is>
      </c>
      <c r="G34" s="24" t="inlineStr">
        <is>
          <t>Regulate</t>
        </is>
      </c>
      <c r="H34" s="24" t="inlineStr"/>
      <c r="I34" s="24" t="inlineStr">
        <is>
          <t>Work &amp; Learning</t>
        </is>
      </c>
    </row>
    <row r="35">
      <c r="A35" s="12" t="inlineStr">
        <is>
          <t>3|10</t>
        </is>
      </c>
      <c r="B35" s="12" t="inlineStr">
        <is>
          <t>B1</t>
        </is>
      </c>
      <c r="C35" s="12" t="n">
        <v>3</v>
      </c>
      <c r="D35" s="12" t="n">
        <v>10</v>
      </c>
      <c r="E35" s="24" t="inlineStr">
        <is>
          <t>Why we buy</t>
        </is>
      </c>
      <c r="F35" s="24" t="inlineStr">
        <is>
          <t>Simple present passive; simple past passive</t>
        </is>
      </c>
      <c r="G35" s="24" t="inlineStr">
        <is>
          <t>Describe</t>
        </is>
      </c>
      <c r="H35" s="24" t="inlineStr">
        <is>
          <t>Narrate</t>
        </is>
      </c>
      <c r="I35" s="24" t="inlineStr">
        <is>
          <t>Trade &amp; Value</t>
        </is>
      </c>
    </row>
    <row r="36">
      <c r="A36" s="12" t="inlineStr">
        <is>
          <t>3|11</t>
        </is>
      </c>
      <c r="B36" s="12" t="inlineStr">
        <is>
          <t>B1</t>
        </is>
      </c>
      <c r="C36" s="12" t="n">
        <v>3</v>
      </c>
      <c r="D36" s="12" t="n">
        <v>11</v>
      </c>
      <c r="E36" s="24" t="inlineStr">
        <is>
          <t>Pushing yourself</t>
        </is>
      </c>
      <c r="F36" s="24" t="inlineStr">
        <is>
          <t>Phrasal verbs; unreal conditionals (presente e futuro)</t>
        </is>
      </c>
      <c r="G36" s="24" t="inlineStr">
        <is>
          <t>Suppose</t>
        </is>
      </c>
      <c r="H36" s="24" t="inlineStr">
        <is>
          <t>Ability &amp; Progress</t>
        </is>
      </c>
      <c r="I36" s="24" t="inlineStr">
        <is>
          <t>People &amp; Relationships</t>
        </is>
      </c>
    </row>
    <row r="37">
      <c r="A37" s="12" t="inlineStr">
        <is>
          <t>3|12</t>
        </is>
      </c>
      <c r="B37" s="12" t="inlineStr">
        <is>
          <t>B1</t>
        </is>
      </c>
      <c r="C37" s="12" t="n">
        <v>3</v>
      </c>
      <c r="D37" s="12" t="n">
        <v>12</v>
      </c>
      <c r="E37" s="24" t="inlineStr">
        <is>
          <t>Life's little lessons</t>
        </is>
      </c>
      <c r="F37" s="24" t="inlineStr">
        <is>
          <t>Indefinite pronouns; reported speech</t>
        </is>
      </c>
      <c r="G37" s="24" t="inlineStr">
        <is>
          <t>Report</t>
        </is>
      </c>
      <c r="H37" s="24" t="inlineStr">
        <is>
          <t>Narrate</t>
        </is>
      </c>
      <c r="I37" s="24" t="inlineStr">
        <is>
          <t>People &amp; Relationships</t>
        </is>
      </c>
    </row>
    <row r="38">
      <c r="A38" s="9" t="inlineStr">
        <is>
          <t>4|1</t>
        </is>
      </c>
      <c r="B38" s="9" t="inlineStr">
        <is>
          <t>B1+</t>
        </is>
      </c>
      <c r="C38" s="9" t="n">
        <v>4</v>
      </c>
      <c r="D38" s="9" t="n">
        <v>1</v>
      </c>
      <c r="E38" s="25" t="inlineStr">
        <is>
          <t>And we're off!</t>
        </is>
      </c>
      <c r="F38" s="25" t="inlineStr">
        <is>
          <t>Tense review (simple e continuous); dynamic and stative verbs</t>
        </is>
      </c>
      <c r="G38" s="25" t="inlineStr">
        <is>
          <t>Describe</t>
        </is>
      </c>
      <c r="H38" s="25" t="inlineStr">
        <is>
          <t>Ability &amp; Progress</t>
        </is>
      </c>
      <c r="I38" s="25" t="inlineStr">
        <is>
          <t>People &amp; Relationships</t>
        </is>
      </c>
    </row>
    <row r="39">
      <c r="A39" s="9" t="inlineStr">
        <is>
          <t>4|2</t>
        </is>
      </c>
      <c r="B39" s="9" t="inlineStr">
        <is>
          <t>B1+</t>
        </is>
      </c>
      <c r="C39" s="9" t="n">
        <v>4</v>
      </c>
      <c r="D39" s="9" t="n">
        <v>2</v>
      </c>
      <c r="E39" s="25" t="inlineStr">
        <is>
          <t>The future of food</t>
        </is>
      </c>
      <c r="F39" s="25" t="inlineStr">
        <is>
          <t>Real conditionals; clauses com after/until/when</t>
        </is>
      </c>
      <c r="G39" s="25" t="inlineStr">
        <is>
          <t>Plan</t>
        </is>
      </c>
      <c r="H39" s="25" t="inlineStr">
        <is>
          <t>Speculate</t>
        </is>
      </c>
      <c r="I39" s="25" t="inlineStr">
        <is>
          <t>Body, Food &amp; Health</t>
        </is>
      </c>
    </row>
    <row r="40">
      <c r="A40" s="9" t="inlineStr">
        <is>
          <t>4|3</t>
        </is>
      </c>
      <c r="B40" s="9" t="inlineStr">
        <is>
          <t>B1+</t>
        </is>
      </c>
      <c r="C40" s="9" t="n">
        <v>4</v>
      </c>
      <c r="D40" s="9" t="n">
        <v>3</v>
      </c>
      <c r="E40" s="25" t="inlineStr">
        <is>
          <t>What's it worth?</t>
        </is>
      </c>
      <c r="F40" s="25" t="inlineStr">
        <is>
          <t>too/enough; modifying comparisons</t>
        </is>
      </c>
      <c r="G40" s="25" t="inlineStr">
        <is>
          <t>Quantify</t>
        </is>
      </c>
      <c r="H40" s="25" t="inlineStr">
        <is>
          <t>Argue</t>
        </is>
      </c>
      <c r="I40" s="25" t="inlineStr">
        <is>
          <t>Trade &amp; Value</t>
        </is>
      </c>
    </row>
    <row r="41">
      <c r="A41" s="9" t="inlineStr">
        <is>
          <t>4|4</t>
        </is>
      </c>
      <c r="B41" s="9" t="inlineStr">
        <is>
          <t>B1+</t>
        </is>
      </c>
      <c r="C41" s="9" t="n">
        <v>4</v>
      </c>
      <c r="D41" s="9" t="n">
        <v>4</v>
      </c>
      <c r="E41" s="25" t="inlineStr">
        <is>
          <t>Going glocal</t>
        </is>
      </c>
      <c r="F41" s="25" t="inlineStr">
        <is>
          <t>Modals of speculation; subject and object relative clauses</t>
        </is>
      </c>
      <c r="G41" s="25" t="inlineStr">
        <is>
          <t>Speculate</t>
        </is>
      </c>
      <c r="H41" s="25" t="inlineStr">
        <is>
          <t>Describe</t>
        </is>
      </c>
      <c r="I41" s="25" t="inlineStr">
        <is>
          <t>Society &amp; Culture</t>
        </is>
      </c>
    </row>
    <row r="42">
      <c r="A42" s="9" t="inlineStr">
        <is>
          <t>4|5</t>
        </is>
      </c>
      <c r="B42" s="9" t="inlineStr">
        <is>
          <t>B1+</t>
        </is>
      </c>
      <c r="C42" s="9" t="n">
        <v>4</v>
      </c>
      <c r="D42" s="9" t="n">
        <v>5</v>
      </c>
      <c r="E42" s="25" t="inlineStr">
        <is>
          <t>True stories</t>
        </is>
      </c>
      <c r="F42" s="25" t="inlineStr">
        <is>
          <t>Past perfect; was/were going to; was/were supposed to</t>
        </is>
      </c>
      <c r="G42" s="25" t="inlineStr">
        <is>
          <t>Narrate</t>
        </is>
      </c>
      <c r="H42" s="25" t="inlineStr">
        <is>
          <t>Suppose</t>
        </is>
      </c>
      <c r="I42" s="25" t="inlineStr">
        <is>
          <t>Society &amp; Culture</t>
        </is>
      </c>
    </row>
    <row r="43">
      <c r="A43" s="9" t="inlineStr">
        <is>
          <t>4|6</t>
        </is>
      </c>
      <c r="B43" s="9" t="inlineStr">
        <is>
          <t>B1+</t>
        </is>
      </c>
      <c r="C43" s="9" t="n">
        <v>4</v>
      </c>
      <c r="D43" s="9" t="n">
        <v>6</v>
      </c>
      <c r="E43" s="25" t="inlineStr">
        <is>
          <t>Community action</t>
        </is>
      </c>
      <c r="F43" s="25" t="inlineStr">
        <is>
          <t>Present and past passive; passive com modals</t>
        </is>
      </c>
      <c r="G43" s="25" t="inlineStr">
        <is>
          <t>Describe</t>
        </is>
      </c>
      <c r="H43" s="25" t="inlineStr">
        <is>
          <t>Argue</t>
        </is>
      </c>
      <c r="I43" s="25" t="inlineStr">
        <is>
          <t>Society &amp; Culture</t>
        </is>
      </c>
    </row>
    <row r="44">
      <c r="A44" s="9" t="inlineStr">
        <is>
          <t>4|7</t>
        </is>
      </c>
      <c r="B44" s="9" t="inlineStr">
        <is>
          <t>B1+</t>
        </is>
      </c>
      <c r="C44" s="9" t="n">
        <v>4</v>
      </c>
      <c r="D44" s="9" t="n">
        <v>7</v>
      </c>
      <c r="E44" s="25" t="inlineStr">
        <is>
          <t>Can we talk?</t>
        </is>
      </c>
      <c r="F44" s="25" t="inlineStr">
        <is>
          <t>Reported statements; reported questions</t>
        </is>
      </c>
      <c r="G44" s="25" t="inlineStr">
        <is>
          <t>Report</t>
        </is>
      </c>
      <c r="H44" s="25" t="inlineStr">
        <is>
          <t>Register &amp; Nuance</t>
        </is>
      </c>
      <c r="I44" s="25" t="inlineStr">
        <is>
          <t>Society &amp; Culture</t>
        </is>
      </c>
    </row>
    <row r="45">
      <c r="A45" s="9" t="inlineStr">
        <is>
          <t>4|8</t>
        </is>
      </c>
      <c r="B45" s="9" t="inlineStr">
        <is>
          <t>B1+</t>
        </is>
      </c>
      <c r="C45" s="9" t="n">
        <v>4</v>
      </c>
      <c r="D45" s="9" t="n">
        <v>8</v>
      </c>
      <c r="E45" s="25" t="inlineStr">
        <is>
          <t>Lifestyles</t>
        </is>
      </c>
      <c r="F45" s="25" t="inlineStr">
        <is>
          <t>Present unreal conditionals; I wish</t>
        </is>
      </c>
      <c r="G45" s="25" t="inlineStr">
        <is>
          <t>Suppose</t>
        </is>
      </c>
      <c r="H45" s="25" t="inlineStr">
        <is>
          <t>React</t>
        </is>
      </c>
      <c r="I45" s="25" t="inlineStr">
        <is>
          <t>Work &amp; Learning</t>
        </is>
      </c>
    </row>
    <row r="46">
      <c r="A46" s="9" t="inlineStr">
        <is>
          <t>4|9</t>
        </is>
      </c>
      <c r="B46" s="9" t="inlineStr">
        <is>
          <t>B1+</t>
        </is>
      </c>
      <c r="C46" s="9" t="n">
        <v>4</v>
      </c>
      <c r="D46" s="9" t="n">
        <v>9</v>
      </c>
      <c r="E46" s="25" t="inlineStr">
        <is>
          <t>Yes, you can!</t>
        </is>
      </c>
      <c r="F46" s="25" t="inlineStr">
        <is>
          <t>Prohibition, permission e obligation (presente e passado)</t>
        </is>
      </c>
      <c r="G46" s="25" t="inlineStr">
        <is>
          <t>Regulate</t>
        </is>
      </c>
      <c r="H46" s="25" t="inlineStr"/>
      <c r="I46" s="25" t="inlineStr">
        <is>
          <t>Places &amp; Environment</t>
        </is>
      </c>
    </row>
    <row r="47">
      <c r="A47" s="9" t="inlineStr">
        <is>
          <t>4|10</t>
        </is>
      </c>
      <c r="B47" s="9" t="inlineStr">
        <is>
          <t>B1+</t>
        </is>
      </c>
      <c r="C47" s="9" t="n">
        <v>4</v>
      </c>
      <c r="D47" s="9" t="n">
        <v>10</v>
      </c>
      <c r="E47" s="25" t="inlineStr">
        <is>
          <t>What if…?</t>
        </is>
      </c>
      <c r="F47" s="25" t="inlineStr">
        <is>
          <t>Past unreal conditionals; modals of past probability</t>
        </is>
      </c>
      <c r="G47" s="25" t="inlineStr">
        <is>
          <t>Suppose</t>
        </is>
      </c>
      <c r="H47" s="25" t="inlineStr">
        <is>
          <t>Speculate</t>
        </is>
      </c>
      <c r="I47" s="25" t="inlineStr">
        <is>
          <t>Society &amp; Culture</t>
        </is>
      </c>
    </row>
    <row r="48">
      <c r="A48" s="9" t="inlineStr">
        <is>
          <t>4|11</t>
        </is>
      </c>
      <c r="B48" s="9" t="inlineStr">
        <is>
          <t>B1+</t>
        </is>
      </c>
      <c r="C48" s="9" t="n">
        <v>4</v>
      </c>
      <c r="D48" s="9" t="n">
        <v>11</v>
      </c>
      <c r="E48" s="25" t="inlineStr">
        <is>
          <t>Contrasts</t>
        </is>
      </c>
      <c r="F48" s="25" t="inlineStr">
        <is>
          <t>Gerund/infinitive após forget/remember/stop; causative help/let/make</t>
        </is>
      </c>
      <c r="G48" s="25" t="inlineStr">
        <is>
          <t>Regulate</t>
        </is>
      </c>
      <c r="H48" s="25" t="inlineStr">
        <is>
          <t>Describe</t>
        </is>
      </c>
      <c r="I48" s="25" t="inlineStr">
        <is>
          <t>Work &amp; Learning</t>
        </is>
      </c>
    </row>
    <row r="49">
      <c r="A49" s="9" t="inlineStr">
        <is>
          <t>4|12</t>
        </is>
      </c>
      <c r="B49" s="9" t="inlineStr">
        <is>
          <t>B1+</t>
        </is>
      </c>
      <c r="C49" s="9" t="n">
        <v>4</v>
      </c>
      <c r="D49" s="9" t="n">
        <v>12</v>
      </c>
      <c r="E49" s="25" t="inlineStr">
        <is>
          <t>Looking back</t>
        </is>
      </c>
      <c r="F49" s="25" t="inlineStr">
        <is>
          <t>Adding emphasis; substitution and referencing</t>
        </is>
      </c>
      <c r="G49" s="25" t="inlineStr">
        <is>
          <t>Narrate</t>
        </is>
      </c>
      <c r="H49" s="25" t="inlineStr">
        <is>
          <t>Register &amp; Nuance</t>
        </is>
      </c>
      <c r="I49" s="25" t="inlineStr">
        <is>
          <t>People &amp; Relationships</t>
        </is>
      </c>
    </row>
    <row r="50">
      <c r="A50" s="12" t="inlineStr">
        <is>
          <t>5|1</t>
        </is>
      </c>
      <c r="B50" s="12" t="inlineStr">
        <is>
          <t>B2</t>
        </is>
      </c>
      <c r="C50" s="12" t="n">
        <v>5</v>
      </c>
      <c r="D50" s="12" t="n">
        <v>1</v>
      </c>
      <c r="E50" s="24" t="inlineStr">
        <is>
          <t>Step Forward</t>
        </is>
      </c>
      <c r="F50" s="24" t="inlineStr">
        <is>
          <t>Present habits; past habits</t>
        </is>
      </c>
      <c r="G50" s="24" t="inlineStr">
        <is>
          <t>Describe</t>
        </is>
      </c>
      <c r="H50" s="24" t="inlineStr">
        <is>
          <t>Narrate</t>
        </is>
      </c>
      <c r="I50" s="24" t="inlineStr">
        <is>
          <t>People &amp; Relationships</t>
        </is>
      </c>
    </row>
    <row r="51">
      <c r="A51" s="12" t="inlineStr">
        <is>
          <t>5|2</t>
        </is>
      </c>
      <c r="B51" s="12" t="inlineStr">
        <is>
          <t>B2</t>
        </is>
      </c>
      <c r="C51" s="12" t="n">
        <v>5</v>
      </c>
      <c r="D51" s="12" t="n">
        <v>2</v>
      </c>
      <c r="E51" s="24" t="inlineStr">
        <is>
          <t>Natural Limits</t>
        </is>
      </c>
      <c r="F51" s="24" t="inlineStr">
        <is>
          <t>Comparative e superlative structures; ungradable adjectives</t>
        </is>
      </c>
      <c r="G51" s="24" t="inlineStr">
        <is>
          <t>Describe</t>
        </is>
      </c>
      <c r="H51" s="24" t="inlineStr">
        <is>
          <t>Quantify</t>
        </is>
      </c>
      <c r="I51" s="24" t="inlineStr">
        <is>
          <t>Places &amp; Environment</t>
        </is>
      </c>
    </row>
    <row r="52">
      <c r="A52" s="12" t="inlineStr">
        <is>
          <t>5|3</t>
        </is>
      </c>
      <c r="B52" s="12" t="inlineStr">
        <is>
          <t>B2</t>
        </is>
      </c>
      <c r="C52" s="12" t="n">
        <v>5</v>
      </c>
      <c r="D52" s="12" t="n">
        <v>3</v>
      </c>
      <c r="E52" s="24" t="inlineStr">
        <is>
          <t>The Way I Am</t>
        </is>
      </c>
      <c r="F52" s="24" t="inlineStr">
        <is>
          <t>Relative pronouns; reduced relative clauses; present participles</t>
        </is>
      </c>
      <c r="G52" s="24" t="inlineStr">
        <is>
          <t>Describe</t>
        </is>
      </c>
      <c r="H52" s="24" t="inlineStr">
        <is>
          <t>React</t>
        </is>
      </c>
      <c r="I52" s="24" t="inlineStr">
        <is>
          <t>People &amp; Relationships</t>
        </is>
      </c>
    </row>
    <row r="53">
      <c r="A53" s="12" t="inlineStr">
        <is>
          <t>5|4</t>
        </is>
      </c>
      <c r="B53" s="12" t="inlineStr">
        <is>
          <t>B2</t>
        </is>
      </c>
      <c r="C53" s="12" t="n">
        <v>5</v>
      </c>
      <c r="D53" s="12" t="n">
        <v>4</v>
      </c>
      <c r="E53" s="24" t="inlineStr">
        <is>
          <t>Combined Effort</t>
        </is>
      </c>
      <c r="F53" s="24" t="inlineStr">
        <is>
          <t>so…that, such…that, even, only; reflexive pronouns; "other"</t>
        </is>
      </c>
      <c r="G53" s="24" t="inlineStr">
        <is>
          <t>Register &amp; Nuance</t>
        </is>
      </c>
      <c r="H53" s="24" t="inlineStr">
        <is>
          <t>Argue</t>
        </is>
      </c>
      <c r="I53" s="24" t="inlineStr">
        <is>
          <t>Work &amp; Learning</t>
        </is>
      </c>
    </row>
    <row r="54">
      <c r="A54" s="12" t="inlineStr">
        <is>
          <t>5|5</t>
        </is>
      </c>
      <c r="B54" s="12" t="inlineStr">
        <is>
          <t>B2</t>
        </is>
      </c>
      <c r="C54" s="12" t="n">
        <v>5</v>
      </c>
      <c r="D54" s="12" t="n">
        <v>5</v>
      </c>
      <c r="E54" s="24" t="inlineStr">
        <is>
          <t>The Human Factor</t>
        </is>
      </c>
      <c r="F54" s="24" t="inlineStr">
        <is>
          <t>Real conditionals; alternativas a "if"</t>
        </is>
      </c>
      <c r="G54" s="24" t="inlineStr">
        <is>
          <t>React</t>
        </is>
      </c>
      <c r="H54" s="24" t="inlineStr">
        <is>
          <t>Speculate</t>
        </is>
      </c>
      <c r="I54" s="24" t="inlineStr">
        <is>
          <t>People &amp; Relationships</t>
        </is>
      </c>
    </row>
    <row r="55">
      <c r="A55" s="12" t="inlineStr">
        <is>
          <t>5|6</t>
        </is>
      </c>
      <c r="B55" s="12" t="inlineStr">
        <is>
          <t>B2</t>
        </is>
      </c>
      <c r="C55" s="12" t="n">
        <v>5</v>
      </c>
      <c r="D55" s="12" t="n">
        <v>6</v>
      </c>
      <c r="E55" s="24" t="inlineStr">
        <is>
          <t>Expect the Unexpected</t>
        </is>
      </c>
      <c r="F55" s="24" t="inlineStr">
        <is>
          <t>Narrative tenses; reported speech com modal verbs</t>
        </is>
      </c>
      <c r="G55" s="24" t="inlineStr">
        <is>
          <t>Narrate</t>
        </is>
      </c>
      <c r="H55" s="24" t="inlineStr">
        <is>
          <t>Report</t>
        </is>
      </c>
      <c r="I55" s="24" t="inlineStr">
        <is>
          <t>Society &amp; Culture</t>
        </is>
      </c>
    </row>
    <row r="56">
      <c r="A56" s="12" t="inlineStr">
        <is>
          <t>5|7</t>
        </is>
      </c>
      <c r="B56" s="12" t="inlineStr">
        <is>
          <t>B2</t>
        </is>
      </c>
      <c r="C56" s="12" t="n">
        <v>5</v>
      </c>
      <c r="D56" s="12" t="n">
        <v>7</v>
      </c>
      <c r="E56" s="24" t="inlineStr">
        <is>
          <t>Priorities</t>
        </is>
      </c>
      <c r="F56" s="24" t="inlineStr">
        <is>
          <t>Gerunds e infinitives após adjectives, nouns e pronouns</t>
        </is>
      </c>
      <c r="G56" s="24" t="inlineStr">
        <is>
          <t>Argue</t>
        </is>
      </c>
      <c r="H56" s="24" t="inlineStr">
        <is>
          <t>Plan</t>
        </is>
      </c>
      <c r="I56" s="24" t="inlineStr">
        <is>
          <t>Trade &amp; Value</t>
        </is>
      </c>
    </row>
    <row r="57">
      <c r="A57" s="12" t="inlineStr">
        <is>
          <t>5|8</t>
        </is>
      </c>
      <c r="B57" s="12" t="inlineStr">
        <is>
          <t>B2</t>
        </is>
      </c>
      <c r="C57" s="12" t="n">
        <v>5</v>
      </c>
      <c r="D57" s="12" t="n">
        <v>8</v>
      </c>
      <c r="E57" s="24" t="inlineStr">
        <is>
          <t>Small Things Matter</t>
        </is>
      </c>
      <c r="F57" s="24" t="inlineStr">
        <is>
          <t>Modal-like expressions com "by"; future forms</t>
        </is>
      </c>
      <c r="G57" s="24" t="inlineStr">
        <is>
          <t>Plan</t>
        </is>
      </c>
      <c r="H57" s="24" t="inlineStr">
        <is>
          <t>Ability &amp; Progress</t>
        </is>
      </c>
      <c r="I57" s="24" t="inlineStr">
        <is>
          <t>Objects &amp; Technology</t>
        </is>
      </c>
    </row>
    <row r="58">
      <c r="A58" s="12" t="inlineStr">
        <is>
          <t>5|9</t>
        </is>
      </c>
      <c r="B58" s="12" t="inlineStr">
        <is>
          <t>B2</t>
        </is>
      </c>
      <c r="C58" s="12" t="n">
        <v>5</v>
      </c>
      <c r="D58" s="12" t="n">
        <v>9</v>
      </c>
      <c r="E58" s="24" t="inlineStr">
        <is>
          <t>Things Happen</t>
        </is>
      </c>
      <c r="F58" s="24" t="inlineStr">
        <is>
          <t>Unreal conditionals; wishes and regrets</t>
        </is>
      </c>
      <c r="G58" s="24" t="inlineStr">
        <is>
          <t>Suppose</t>
        </is>
      </c>
      <c r="H58" s="24" t="inlineStr">
        <is>
          <t>React</t>
        </is>
      </c>
      <c r="I58" s="24" t="inlineStr">
        <is>
          <t>People &amp; Relationships</t>
        </is>
      </c>
    </row>
    <row r="59">
      <c r="A59" s="12" t="inlineStr">
        <is>
          <t>5|10</t>
        </is>
      </c>
      <c r="B59" s="12" t="inlineStr">
        <is>
          <t>B2</t>
        </is>
      </c>
      <c r="C59" s="12" t="n">
        <v>5</v>
      </c>
      <c r="D59" s="12" t="n">
        <v>10</v>
      </c>
      <c r="E59" s="24" t="inlineStr">
        <is>
          <t>People, Profiles</t>
        </is>
      </c>
      <c r="F59" s="24" t="inlineStr">
        <is>
          <t>Gerunds após preposições; causative verbs</t>
        </is>
      </c>
      <c r="G59" s="24" t="inlineStr">
        <is>
          <t>Describe</t>
        </is>
      </c>
      <c r="H59" s="24" t="inlineStr">
        <is>
          <t>Regulate</t>
        </is>
      </c>
      <c r="I59" s="24" t="inlineStr">
        <is>
          <t>People &amp; Relationships</t>
        </is>
      </c>
    </row>
    <row r="60">
      <c r="A60" s="12" t="inlineStr">
        <is>
          <t>5|11</t>
        </is>
      </c>
      <c r="B60" s="12" t="inlineStr">
        <is>
          <t>B2</t>
        </is>
      </c>
      <c r="C60" s="12" t="n">
        <v>5</v>
      </c>
      <c r="D60" s="12" t="n">
        <v>11</v>
      </c>
      <c r="E60" s="24" t="inlineStr">
        <is>
          <t>Really?</t>
        </is>
      </c>
      <c r="F60" s="24" t="inlineStr">
        <is>
          <t>Passives com modais e modal-like expressions; passive infinitives</t>
        </is>
      </c>
      <c r="G60" s="24" t="inlineStr">
        <is>
          <t>Speculate</t>
        </is>
      </c>
      <c r="H60" s="24" t="inlineStr">
        <is>
          <t>Register &amp; Nuance</t>
        </is>
      </c>
      <c r="I60" s="24" t="inlineStr">
        <is>
          <t>Objects &amp; Technology</t>
        </is>
      </c>
    </row>
    <row r="61">
      <c r="A61" s="12" t="inlineStr">
        <is>
          <t>5|12</t>
        </is>
      </c>
      <c r="B61" s="12" t="inlineStr">
        <is>
          <t>B2</t>
        </is>
      </c>
      <c r="C61" s="12" t="n">
        <v>5</v>
      </c>
      <c r="D61" s="12" t="n">
        <v>12</v>
      </c>
      <c r="E61" s="24" t="inlineStr">
        <is>
          <t>Get What It Takes</t>
        </is>
      </c>
      <c r="F61" s="24" t="inlineStr">
        <is>
          <t>Adverbs com adjectives e adverbs; non-count nouns contabilizados</t>
        </is>
      </c>
      <c r="G61" s="24" t="inlineStr">
        <is>
          <t>Ability &amp; Progress</t>
        </is>
      </c>
      <c r="H61" s="24" t="inlineStr">
        <is>
          <t>Quantify</t>
        </is>
      </c>
      <c r="I61" s="24" t="inlineStr">
        <is>
          <t>Work &amp; Learning</t>
        </is>
      </c>
    </row>
    <row r="62">
      <c r="A62" s="9" t="inlineStr">
        <is>
          <t>6|1</t>
        </is>
      </c>
      <c r="B62" s="9" t="inlineStr">
        <is>
          <t>C1</t>
        </is>
      </c>
      <c r="C62" s="9" t="n">
        <v>6</v>
      </c>
      <c r="D62" s="9" t="n">
        <v>1</v>
      </c>
      <c r="E62" s="25" t="inlineStr">
        <is>
          <t>Robot Revolution</t>
        </is>
      </c>
      <c r="F62" s="25" t="inlineStr">
        <is>
          <t>Commenting adverbs; future perfect e future continuous</t>
        </is>
      </c>
      <c r="G62" s="25" t="inlineStr">
        <is>
          <t>Plan</t>
        </is>
      </c>
      <c r="H62" s="25" t="inlineStr">
        <is>
          <t>Register &amp; Nuance</t>
        </is>
      </c>
      <c r="I62" s="25" t="inlineStr">
        <is>
          <t>Objects &amp; Technology</t>
        </is>
      </c>
    </row>
    <row r="63">
      <c r="A63" s="9" t="inlineStr">
        <is>
          <t>6|2</t>
        </is>
      </c>
      <c r="B63" s="9" t="inlineStr">
        <is>
          <t>C1</t>
        </is>
      </c>
      <c r="C63" s="9" t="n">
        <v>6</v>
      </c>
      <c r="D63" s="9" t="n">
        <v>2</v>
      </c>
      <c r="E63" s="25" t="inlineStr">
        <is>
          <t>The Labels We Live By</t>
        </is>
      </c>
      <c r="F63" s="25" t="inlineStr">
        <is>
          <t>Uses of "all"; uses of "would"</t>
        </is>
      </c>
      <c r="G63" s="25" t="inlineStr">
        <is>
          <t>Describe</t>
        </is>
      </c>
      <c r="H63" s="25" t="inlineStr">
        <is>
          <t>Narrate</t>
        </is>
      </c>
      <c r="I63" s="25" t="inlineStr">
        <is>
          <t>People &amp; Relationships</t>
        </is>
      </c>
    </row>
    <row r="64">
      <c r="A64" s="9" t="inlineStr">
        <is>
          <t>6|3</t>
        </is>
      </c>
      <c r="B64" s="9" t="inlineStr">
        <is>
          <t>C1</t>
        </is>
      </c>
      <c r="C64" s="9" t="n">
        <v>6</v>
      </c>
      <c r="D64" s="9" t="n">
        <v>3</v>
      </c>
      <c r="E64" s="25" t="inlineStr">
        <is>
          <t>In Hindsight</t>
        </is>
      </c>
      <c r="F64" s="25" t="inlineStr">
        <is>
          <t>Variações de past unreal conditionals; commenting on the past</t>
        </is>
      </c>
      <c r="G64" s="25" t="inlineStr">
        <is>
          <t>Suppose</t>
        </is>
      </c>
      <c r="H64" s="25" t="inlineStr">
        <is>
          <t>React</t>
        </is>
      </c>
      <c r="I64" s="25" t="inlineStr">
        <is>
          <t>People &amp; Relationships</t>
        </is>
      </c>
    </row>
    <row r="65">
      <c r="A65" s="9" t="inlineStr">
        <is>
          <t>6|4</t>
        </is>
      </c>
      <c r="B65" s="9" t="inlineStr">
        <is>
          <t>C1</t>
        </is>
      </c>
      <c r="C65" s="9" t="n">
        <v>6</v>
      </c>
      <c r="D65" s="9" t="n">
        <v>4</v>
      </c>
      <c r="E65" s="25" t="inlineStr">
        <is>
          <t>Close Up</t>
        </is>
      </c>
      <c r="F65" s="25" t="inlineStr">
        <is>
          <t>Quantifiers e prepositions em relative clauses; noun clauses</t>
        </is>
      </c>
      <c r="G65" s="25" t="inlineStr">
        <is>
          <t>Describe</t>
        </is>
      </c>
      <c r="H65" s="25" t="inlineStr">
        <is>
          <t>Quantify</t>
        </is>
      </c>
      <c r="I65" s="25" t="inlineStr">
        <is>
          <t>Objects &amp; Technology</t>
        </is>
      </c>
    </row>
    <row r="66">
      <c r="A66" s="9" t="inlineStr">
        <is>
          <t>6|5</t>
        </is>
      </c>
      <c r="B66" s="9" t="inlineStr">
        <is>
          <t>C1</t>
        </is>
      </c>
      <c r="C66" s="9" t="n">
        <v>6</v>
      </c>
      <c r="D66" s="9" t="n">
        <v>5</v>
      </c>
      <c r="E66" s="25" t="inlineStr">
        <is>
          <t>Remote</t>
        </is>
      </c>
      <c r="F66" s="25" t="inlineStr">
        <is>
          <t>Participle phrases em posição inicial; reduced relative clauses</t>
        </is>
      </c>
      <c r="G66" s="25" t="inlineStr">
        <is>
          <t>Describe</t>
        </is>
      </c>
      <c r="H66" s="25" t="inlineStr">
        <is>
          <t>Narrate</t>
        </is>
      </c>
      <c r="I66" s="25" t="inlineStr">
        <is>
          <t>Places &amp; Environment</t>
        </is>
      </c>
    </row>
    <row r="67">
      <c r="A67" s="9" t="inlineStr">
        <is>
          <t>6|6</t>
        </is>
      </c>
      <c r="B67" s="9" t="inlineStr">
        <is>
          <t>C1</t>
        </is>
      </c>
      <c r="C67" s="9" t="n">
        <v>6</v>
      </c>
      <c r="D67" s="9" t="n">
        <v>6</v>
      </c>
      <c r="E67" s="25" t="inlineStr">
        <is>
          <t>Surprise, Surprise</t>
        </is>
      </c>
      <c r="F67" s="25" t="inlineStr">
        <is>
          <t>Clefts; question words com "-ever"</t>
        </is>
      </c>
      <c r="G67" s="25" t="inlineStr">
        <is>
          <t>Register &amp; Nuance</t>
        </is>
      </c>
      <c r="H67" s="25" t="inlineStr">
        <is>
          <t>React</t>
        </is>
      </c>
      <c r="I67" s="25" t="inlineStr">
        <is>
          <t>Society &amp; Culture</t>
        </is>
      </c>
    </row>
    <row r="68">
      <c r="A68" s="9" t="inlineStr">
        <is>
          <t>6|7</t>
        </is>
      </c>
      <c r="B68" s="9" t="inlineStr">
        <is>
          <t>C1</t>
        </is>
      </c>
      <c r="C68" s="9" t="n">
        <v>6</v>
      </c>
      <c r="D68" s="9" t="n">
        <v>7</v>
      </c>
      <c r="E68" s="25" t="inlineStr">
        <is>
          <t>Roots</t>
        </is>
      </c>
      <c r="F68" s="25" t="inlineStr">
        <is>
          <t>Negative e limiting adverbials; fronting adverbials</t>
        </is>
      </c>
      <c r="G68" s="25" t="inlineStr">
        <is>
          <t>Register &amp; Nuance</t>
        </is>
      </c>
      <c r="H68" s="25" t="inlineStr">
        <is>
          <t>Narrate</t>
        </is>
      </c>
      <c r="I68" s="25" t="inlineStr">
        <is>
          <t>Society &amp; Culture</t>
        </is>
      </c>
    </row>
    <row r="69">
      <c r="A69" s="9" t="inlineStr">
        <is>
          <t>6|8</t>
        </is>
      </c>
      <c r="B69" s="9" t="inlineStr">
        <is>
          <t>C1</t>
        </is>
      </c>
      <c r="C69" s="9" t="n">
        <v>6</v>
      </c>
      <c r="D69" s="9" t="n">
        <v>8</v>
      </c>
      <c r="E69" s="25" t="inlineStr">
        <is>
          <t>Short</t>
        </is>
      </c>
      <c r="F69" s="25" t="inlineStr">
        <is>
          <t>Phrases com "get"; phrases com "go"</t>
        </is>
      </c>
      <c r="G69" s="25" t="inlineStr">
        <is>
          <t>Register &amp; Nuance</t>
        </is>
      </c>
      <c r="H69" s="25" t="inlineStr"/>
      <c r="I69" s="25" t="inlineStr">
        <is>
          <t>Society &amp; Culture</t>
        </is>
      </c>
    </row>
    <row r="70">
      <c r="A70" s="9" t="inlineStr">
        <is>
          <t>6|9</t>
        </is>
      </c>
      <c r="B70" s="9" t="inlineStr">
        <is>
          <t>C1</t>
        </is>
      </c>
      <c r="C70" s="9" t="n">
        <v>6</v>
      </c>
      <c r="D70" s="9" t="n">
        <v>9</v>
      </c>
      <c r="E70" s="25" t="inlineStr">
        <is>
          <t>Healthy Modern Life</t>
        </is>
      </c>
      <c r="F70" s="25" t="inlineStr">
        <is>
          <t>Referencing; continuous infinitives</t>
        </is>
      </c>
      <c r="G70" s="25" t="inlineStr">
        <is>
          <t>Register &amp; Nuance</t>
        </is>
      </c>
      <c r="H70" s="25" t="inlineStr">
        <is>
          <t>Describe</t>
        </is>
      </c>
      <c r="I70" s="25" t="inlineStr">
        <is>
          <t>Body, Food &amp; Health</t>
        </is>
      </c>
    </row>
    <row r="71">
      <c r="A71" s="9" t="inlineStr">
        <is>
          <t>6|10</t>
        </is>
      </c>
      <c r="B71" s="9" t="inlineStr">
        <is>
          <t>C1</t>
        </is>
      </c>
      <c r="C71" s="9" t="n">
        <v>6</v>
      </c>
      <c r="D71" s="9" t="n">
        <v>10</v>
      </c>
      <c r="E71" s="25" t="inlineStr">
        <is>
          <t>Reinvention</t>
        </is>
      </c>
      <c r="F71" s="25" t="inlineStr">
        <is>
          <t>Simple past for unreal situations; if-constructions</t>
        </is>
      </c>
      <c r="G71" s="25" t="inlineStr">
        <is>
          <t>Suppose</t>
        </is>
      </c>
      <c r="H71" s="25" t="inlineStr">
        <is>
          <t>Argue</t>
        </is>
      </c>
      <c r="I71" s="25" t="inlineStr">
        <is>
          <t>Society &amp; Culture</t>
        </is>
      </c>
    </row>
    <row r="72">
      <c r="A72" s="9" t="inlineStr">
        <is>
          <t>6|11</t>
        </is>
      </c>
      <c r="B72" s="9" t="inlineStr">
        <is>
          <t>C1</t>
        </is>
      </c>
      <c r="C72" s="9" t="n">
        <v>6</v>
      </c>
      <c r="D72" s="9" t="n">
        <v>11</v>
      </c>
      <c r="E72" s="25" t="inlineStr">
        <is>
          <t>True Colors</t>
        </is>
      </c>
      <c r="F72" s="25" t="inlineStr">
        <is>
          <t>Subject-verb agreement; articles</t>
        </is>
      </c>
      <c r="G72" s="25" t="inlineStr">
        <is>
          <t>Describe</t>
        </is>
      </c>
      <c r="H72" s="25" t="inlineStr">
        <is>
          <t>Register &amp; Nuance</t>
        </is>
      </c>
      <c r="I72" s="25" t="inlineStr">
        <is>
          <t>Society &amp; Culture</t>
        </is>
      </c>
    </row>
    <row r="73">
      <c r="A73" s="9" t="inlineStr">
        <is>
          <t>6|12</t>
        </is>
      </c>
      <c r="B73" s="9" t="inlineStr">
        <is>
          <t>C1</t>
        </is>
      </c>
      <c r="C73" s="9" t="n">
        <v>6</v>
      </c>
      <c r="D73" s="9" t="n">
        <v>12</v>
      </c>
      <c r="E73" s="25" t="inlineStr">
        <is>
          <t>Things Change</t>
        </is>
      </c>
      <c r="F73" s="25" t="inlineStr">
        <is>
          <t>Present subjunctive; perfect infinitive</t>
        </is>
      </c>
      <c r="G73" s="25" t="inlineStr">
        <is>
          <t>Regulate</t>
        </is>
      </c>
      <c r="H73" s="25" t="inlineStr">
        <is>
          <t>Plan</t>
        </is>
      </c>
      <c r="I73" s="25" t="inlineStr">
        <is>
          <t>Society &amp; Culture</t>
        </is>
      </c>
    </row>
  </sheetData>
  <autoFilter ref="A1:I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Como plugar isto no seu Painel da Turma</t>
        </is>
      </c>
    </row>
    <row r="3">
      <c r="B3" s="2" t="inlineStr">
        <is>
          <t>Cinco minutos, uma vez só. Depois disso nunca mais.</t>
        </is>
      </c>
    </row>
    <row r="5">
      <c r="B5" s="26" t="inlineStr">
        <is>
          <t>SE VOCÊ QUER O MAIS SIMPLES</t>
        </is>
      </c>
    </row>
    <row r="6" ht="29" customHeight="1">
      <c r="B6" s="27" t="inlineStr">
        <is>
          <t>Use esta planilha como está. Toda semana você abre a aba MESA, atualiza as colunas EVOLVE e UN. de cada aluno, e lê os blocos 2 e 3. Não precisa mexer no Painel.</t>
        </is>
      </c>
    </row>
    <row r="7" ht="15" customHeight="1">
      <c r="B7" s="27" t="inlineStr"/>
    </row>
    <row r="8">
      <c r="B8" s="26" t="inlineStr">
        <is>
          <t>SE VOCÊ QUER DENTRO DO PAINEL (recomendado a médio prazo)</t>
        </is>
      </c>
    </row>
    <row r="9" ht="15" customHeight="1">
      <c r="B9" s="27" t="inlineStr">
        <is>
          <t>1. Abra o Painel-Turma-RPL no Google Sheets.</t>
        </is>
      </c>
    </row>
    <row r="10" ht="29" customHeight="1">
      <c r="B10" s="27" t="inlineStr">
        <is>
          <t>2. Nesta planilha, clique com o botão direito na aba ETIQUETAS e escolha Copiar para → Planilha existente → Painel-Turma-RPL. Faça o mesmo com a aba MESA.</t>
        </is>
      </c>
    </row>
    <row r="11" ht="29" customHeight="1">
      <c r="B11" s="27" t="inlineStr">
        <is>
          <t>3. Na aba MESA copiada, troque as colunas A, B e C para apontar para o PAINEL. Se o primeiro aluno estiver na linha 7 do PAINEL, com nível em B7 e unidade em C7, então na MESA escreva:</t>
        </is>
      </c>
    </row>
    <row r="12">
      <c r="B12" s="28" t="inlineStr">
        <is>
          <t>A6:  =PAINEL!A7        B6:  =PAINEL!B7        C6:  =PAINEL!C7</t>
        </is>
      </c>
    </row>
    <row r="13" ht="29" customHeight="1">
      <c r="B13" s="27" t="inlineStr">
        <is>
          <t>4. Arraste as três células para baixo, uma linha por aluno. Pronto — a partir daí a MESA se atualiza sozinha toda vez que você marcar a etapa de alguém.</t>
        </is>
      </c>
    </row>
    <row r="14" ht="15" customHeight="1">
      <c r="B14" s="27" t="inlineStr"/>
    </row>
    <row r="15">
      <c r="B15" s="26" t="inlineStr">
        <is>
          <t>SE VOCÊ PREFERIR AS COLUNAS DIRETO NO PAINEL</t>
        </is>
      </c>
    </row>
    <row r="16" ht="29" customHeight="1">
      <c r="B16" s="27" t="inlineStr">
        <is>
          <t>Em vez de usar a aba MESA, cole a fórmula abaixo numa coluna nova do PAINEL, ao lado de cada aluno. Ela devolve a Ação 1. Troque $B7 pelo nível do Evolve e $C7 pela unidade:</t>
        </is>
      </c>
    </row>
    <row r="17">
      <c r="B17" s="28">
        <f>IFERROR(INDEX(ETIQUETAS!$G$2:$G$73;MATCH($B7&amp;"|"&amp;$C7;ETIQUETAS!$A$2:$A$73;0));"")</f>
        <v/>
      </c>
    </row>
    <row r="18" ht="15" customHeight="1">
      <c r="B18" s="27" t="inlineStr">
        <is>
          <t>Para a Ação 2, troque G por H. Para o domínio, troque por I. Para o título da unidade, E.</t>
        </is>
      </c>
    </row>
    <row r="19" ht="29" customHeight="1">
      <c r="B19" s="27" t="inlineStr">
        <is>
          <t>Atenção ao separador: o Google Sheets em português usa ponto e vírgula, como está acima. Se a sua planilha usa vírgula, troque todos os ; por ,</t>
        </is>
      </c>
    </row>
    <row r="20" ht="15" customHeight="1">
      <c r="B20" s="27" t="inlineStr"/>
    </row>
    <row r="21">
      <c r="B21" s="26" t="inlineStr">
        <is>
          <t>O QUE NÃO FAZER</t>
        </is>
      </c>
    </row>
    <row r="22" ht="29" customHeight="1">
      <c r="B22" s="27" t="inlineStr">
        <is>
          <t>Não apague nem reordene as colunas da aba ETIQUETAS. As fórmulas apontam para as letras das colunas, então mover uma coluna quebra tudo em silêncio.</t>
        </is>
      </c>
    </row>
    <row r="23" ht="43.5" customHeight="1">
      <c r="B23" s="27" t="inlineStr">
        <is>
          <t>Não use ARRAYFORMULA para tentar preencher a coluna de uma vez. Funciona no Google Sheets e quebra no Excel e no LibreOffice — e o material precisa rodar na máquina de qualquer professor parceiro.</t>
        </is>
      </c>
    </row>
    <row r="24" ht="15" customHeight="1">
      <c r="B24" s="27" t="inlineStr"/>
    </row>
    <row r="25">
      <c r="B25" s="26" t="inlineStr">
        <is>
          <t>QUANDO O CATÁLOGO MUDAR</t>
        </is>
      </c>
    </row>
    <row r="26" ht="29" customHeight="1">
      <c r="B26" s="27" t="inlineStr">
        <is>
          <t>Se as etiquetas de alguma unidade forem revistas, o que muda é só a aba ETIQUETAS. Nenhuma fórmula precisa ser tocada — troque os valores das colunas G, H e I e o resto acompanha.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2026-09-11T16:53:24Z</dcterms:created>
  <dcterms:modified xmlns:dcterms="http://purl.org/dc/terms/" xmlns:xsi="http://www.w3.org/2001/XMLSchema-instance" xsi:type="dcterms:W3CDTF">2026-09-11T16:53:24Z</dcterms:modified>
</cp:coreProperties>
</file>